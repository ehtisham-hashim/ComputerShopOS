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24226"/>
  <xr:revisionPtr revIDLastSave="0" documentId="13_ncr:1_{C5DD9BE9-9AE0-412F-9E58-2B5D455EB400}" xr6:coauthVersionLast="47" xr6:coauthVersionMax="47" xr10:uidLastSave="{00000000-0000-0000-0000-000000000000}"/>
  <bookViews>
    <workbookView xWindow="-120" yWindow="-120" windowWidth="21840" windowHeight="13140" tabRatio="886" activeTab="5" xr2:uid="{00000000-000D-0000-FFFF-FFFF00000000}"/>
  </bookViews>
  <sheets>
    <sheet name="PAYABLES-2024" sheetId="18" r:id="rId1"/>
    <sheet name="NAEEM BHI PBM 1" sheetId="31" r:id="rId2"/>
    <sheet name="NAEEM BHI PBM-2" sheetId="30" r:id="rId3"/>
    <sheet name="NAEEM BHI PBM-3 " sheetId="46" r:id="rId4"/>
    <sheet name="NAEEM BHI PBM ISB LAPTOPS 1 " sheetId="47" r:id="rId5"/>
    <sheet name="NAEEM BHI PBM ISB LAPTOPS 2" sheetId="34" r:id="rId6"/>
    <sheet name=" ZAFAR &amp; SONS RWP 1" sheetId="29" r:id="rId7"/>
    <sheet name=" ZAFAR &amp; SONS RWP 2" sheetId="33" r:id="rId8"/>
    <sheet name="ZAFAR &amp; SONS RWP 3 " sheetId="43" r:id="rId9"/>
    <sheet name=" ZAFAR &amp; SONS RWP 4  " sheetId="48" r:id="rId10"/>
    <sheet name=" ZAFAR &amp; SONS RWP 5 " sheetId="39" r:id="rId11"/>
    <sheet name="AL AZIZ-LHR-1" sheetId="6" r:id="rId12"/>
    <sheet name="AL AZIZ-LHR-2" sheetId="8" r:id="rId13"/>
    <sheet name="AL AZIZ-LHR-3" sheetId="14" r:id="rId14"/>
    <sheet name="AL AZIZ-LHR-4" sheetId="17" r:id="rId15"/>
    <sheet name="AL AZIZ-LHR-5" sheetId="19" r:id="rId16"/>
    <sheet name="AL AZIZ-LHR-6" sheetId="20" r:id="rId17"/>
    <sheet name="AL AZIZ-LHR-7 " sheetId="21" r:id="rId18"/>
    <sheet name="AL AZIZ-LHR-8" sheetId="22" r:id="rId19"/>
    <sheet name="AL AZIZ-LHR-9" sheetId="23" r:id="rId20"/>
    <sheet name="AL AZIZ-LHR-10 " sheetId="25" r:id="rId21"/>
    <sheet name="AL AZIZ-LHR-11" sheetId="26" r:id="rId22"/>
    <sheet name="AL AZIZ-LHR-12" sheetId="27" r:id="rId23"/>
    <sheet name="AL AZIZ-LHR-13" sheetId="28" r:id="rId24"/>
    <sheet name="AL AZIZ-LHR-14 " sheetId="37" r:id="rId25"/>
    <sheet name="AL AZIZ-LHR-15 " sheetId="41" r:id="rId26"/>
    <sheet name="AL AZIZ-LHR-16 " sheetId="42" r:id="rId27"/>
    <sheet name="AL AZIZ-LHR-17 " sheetId="44" r:id="rId28"/>
    <sheet name="AL AZIZ-LHR-18" sheetId="32" r:id="rId29"/>
    <sheet name="AL AZIZ-LHR-19" sheetId="49" r:id="rId30"/>
    <sheet name="NASNIM BHI-1" sheetId="40" r:id="rId31"/>
    <sheet name="NASNIM BHI-2" sheetId="35" r:id="rId32"/>
    <sheet name="Abdul Rafay" sheetId="36" r:id="rId33"/>
  </sheets>
  <definedNames>
    <definedName name="_xlnm._FilterDatabase" localSheetId="0" hidden="1">'PAYABLES-2024'!$A$3:$C$3</definedName>
    <definedName name="_xlnm.Print_Area" localSheetId="30">'NASNIM BHI-1'!$A$1:$H$132</definedName>
    <definedName name="_xlnm.Print_Area" localSheetId="31">'NASNIM BHI-2'!$A$1:$H$132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8" l="1"/>
  <c r="C14" i="18"/>
  <c r="C13" i="18"/>
  <c r="G5" i="49"/>
  <c r="F36" i="49"/>
  <c r="E36" i="49"/>
  <c r="G6" i="49"/>
  <c r="G7" i="49" s="1"/>
  <c r="C6" i="18"/>
  <c r="G5" i="39"/>
  <c r="F36" i="48"/>
  <c r="E36" i="48"/>
  <c r="G6" i="48"/>
  <c r="G7" i="48" s="1"/>
  <c r="G5" i="48"/>
  <c r="G36" i="48" s="1"/>
  <c r="H36" i="48" s="1"/>
  <c r="C5" i="18"/>
  <c r="G36" i="47"/>
  <c r="F36" i="47"/>
  <c r="E36" i="47"/>
  <c r="G6" i="47"/>
  <c r="H6" i="47" s="1"/>
  <c r="C11" i="18"/>
  <c r="F36" i="46"/>
  <c r="E36" i="46"/>
  <c r="G6" i="46"/>
  <c r="G7" i="46" s="1"/>
  <c r="G5" i="46"/>
  <c r="G36" i="46" s="1"/>
  <c r="H36" i="46" s="1"/>
  <c r="G5" i="32"/>
  <c r="G6" i="32" s="1"/>
  <c r="G7" i="32" s="1"/>
  <c r="G8" i="32" s="1"/>
  <c r="G9" i="32" s="1"/>
  <c r="G10" i="32" s="1"/>
  <c r="G11" i="32" s="1"/>
  <c r="G12" i="32" s="1"/>
  <c r="G13" i="32" s="1"/>
  <c r="G14" i="32" s="1"/>
  <c r="G15" i="32" s="1"/>
  <c r="G16" i="32" s="1"/>
  <c r="G17" i="32" s="1"/>
  <c r="G18" i="32" s="1"/>
  <c r="G19" i="32" s="1"/>
  <c r="G20" i="32" s="1"/>
  <c r="G21" i="32" s="1"/>
  <c r="G22" i="32" s="1"/>
  <c r="G23" i="32" s="1"/>
  <c r="G24" i="32" s="1"/>
  <c r="G25" i="32" s="1"/>
  <c r="G26" i="32" s="1"/>
  <c r="G27" i="32" s="1"/>
  <c r="G28" i="32" s="1"/>
  <c r="G29" i="32" s="1"/>
  <c r="G30" i="32" s="1"/>
  <c r="G31" i="32" s="1"/>
  <c r="G32" i="32" s="1"/>
  <c r="G33" i="32" s="1"/>
  <c r="G34" i="32" s="1"/>
  <c r="G35" i="32" s="1"/>
  <c r="F36" i="44"/>
  <c r="E36" i="44"/>
  <c r="G5" i="44"/>
  <c r="G36" i="44" s="1"/>
  <c r="H36" i="44" s="1"/>
  <c r="F36" i="43"/>
  <c r="G36" i="43" s="1"/>
  <c r="H36" i="43" s="1"/>
  <c r="E36" i="43"/>
  <c r="G6" i="43"/>
  <c r="G7" i="43" s="1"/>
  <c r="F36" i="42"/>
  <c r="E36" i="42"/>
  <c r="G5" i="42"/>
  <c r="G36" i="42" s="1"/>
  <c r="H36" i="42" s="1"/>
  <c r="F36" i="41"/>
  <c r="E36" i="41"/>
  <c r="G6" i="41"/>
  <c r="G7" i="41" s="1"/>
  <c r="G5" i="41"/>
  <c r="G71" i="36"/>
  <c r="G36" i="49" l="1"/>
  <c r="H7" i="49"/>
  <c r="G8" i="49"/>
  <c r="H6" i="49"/>
  <c r="H7" i="48"/>
  <c r="G8" i="48"/>
  <c r="H6" i="48"/>
  <c r="G7" i="47"/>
  <c r="H36" i="47"/>
  <c r="H7" i="46"/>
  <c r="G8" i="46"/>
  <c r="H6" i="46"/>
  <c r="G6" i="44"/>
  <c r="H7" i="43"/>
  <c r="G8" i="43"/>
  <c r="H6" i="43"/>
  <c r="G6" i="42"/>
  <c r="G36" i="41"/>
  <c r="H36" i="41" s="1"/>
  <c r="H7" i="41"/>
  <c r="G8" i="41"/>
  <c r="H6" i="41"/>
  <c r="G5" i="35"/>
  <c r="E132" i="40"/>
  <c r="C113" i="40"/>
  <c r="B113" i="40"/>
  <c r="C112" i="40"/>
  <c r="B112" i="40"/>
  <c r="C111" i="40"/>
  <c r="B111" i="40"/>
  <c r="C107" i="40"/>
  <c r="B107" i="40"/>
  <c r="C106" i="40"/>
  <c r="B106" i="40"/>
  <c r="C105" i="40"/>
  <c r="B105" i="40"/>
  <c r="C104" i="40"/>
  <c r="B104" i="40"/>
  <c r="C103" i="40"/>
  <c r="B103" i="40"/>
  <c r="C102" i="40"/>
  <c r="B102" i="40"/>
  <c r="B101" i="40"/>
  <c r="F19" i="40"/>
  <c r="F17" i="40"/>
  <c r="F132" i="40" s="1"/>
  <c r="G132" i="40" s="1"/>
  <c r="H132" i="40" s="1"/>
  <c r="H6" i="40"/>
  <c r="G6" i="40"/>
  <c r="G7" i="40" s="1"/>
  <c r="F36" i="39"/>
  <c r="E36" i="39"/>
  <c r="G6" i="39"/>
  <c r="H36" i="49" l="1"/>
  <c r="C4" i="18"/>
  <c r="G9" i="49"/>
  <c r="H8" i="49"/>
  <c r="G9" i="48"/>
  <c r="H8" i="48"/>
  <c r="G8" i="47"/>
  <c r="H7" i="47"/>
  <c r="G9" i="46"/>
  <c r="H8" i="46"/>
  <c r="G7" i="44"/>
  <c r="H6" i="44"/>
  <c r="H8" i="43"/>
  <c r="G9" i="43"/>
  <c r="G7" i="42"/>
  <c r="H6" i="42"/>
  <c r="G9" i="41"/>
  <c r="H8" i="41"/>
  <c r="G8" i="40"/>
  <c r="H7" i="40"/>
  <c r="G7" i="39"/>
  <c r="H6" i="39"/>
  <c r="G36" i="39"/>
  <c r="C7" i="18" s="1"/>
  <c r="H9" i="49" l="1"/>
  <c r="G10" i="49"/>
  <c r="H9" i="48"/>
  <c r="G10" i="48"/>
  <c r="G9" i="47"/>
  <c r="H8" i="47"/>
  <c r="H9" i="46"/>
  <c r="G10" i="46"/>
  <c r="G8" i="44"/>
  <c r="H7" i="44"/>
  <c r="H9" i="43"/>
  <c r="G10" i="43"/>
  <c r="G8" i="42"/>
  <c r="H7" i="42"/>
  <c r="H9" i="41"/>
  <c r="G10" i="41"/>
  <c r="G9" i="40"/>
  <c r="H8" i="40"/>
  <c r="H36" i="39"/>
  <c r="G8" i="39"/>
  <c r="H7" i="39"/>
  <c r="G11" i="49" l="1"/>
  <c r="H10" i="49"/>
  <c r="G11" i="48"/>
  <c r="H10" i="48"/>
  <c r="G10" i="47"/>
  <c r="H9" i="47"/>
  <c r="G11" i="46"/>
  <c r="H10" i="46"/>
  <c r="G9" i="44"/>
  <c r="H8" i="44"/>
  <c r="G11" i="43"/>
  <c r="H10" i="43"/>
  <c r="G9" i="42"/>
  <c r="H8" i="42"/>
  <c r="G11" i="41"/>
  <c r="H10" i="41"/>
  <c r="G10" i="40"/>
  <c r="H9" i="40"/>
  <c r="G9" i="39"/>
  <c r="H8" i="39"/>
  <c r="H11" i="49" l="1"/>
  <c r="G12" i="49"/>
  <c r="H11" i="48"/>
  <c r="G12" i="48"/>
  <c r="G11" i="47"/>
  <c r="H10" i="47"/>
  <c r="H11" i="46"/>
  <c r="G12" i="46"/>
  <c r="H9" i="44"/>
  <c r="G10" i="44"/>
  <c r="H11" i="43"/>
  <c r="G12" i="43"/>
  <c r="G10" i="42"/>
  <c r="H9" i="42"/>
  <c r="H11" i="41"/>
  <c r="G12" i="41"/>
  <c r="G11" i="40"/>
  <c r="H10" i="40"/>
  <c r="G10" i="39"/>
  <c r="H9" i="39"/>
  <c r="G13" i="49" l="1"/>
  <c r="H12" i="49"/>
  <c r="G13" i="48"/>
  <c r="H12" i="48"/>
  <c r="H11" i="47"/>
  <c r="G12" i="47"/>
  <c r="G13" i="46"/>
  <c r="H12" i="46"/>
  <c r="G11" i="44"/>
  <c r="H10" i="44"/>
  <c r="G13" i="43"/>
  <c r="H12" i="43"/>
  <c r="G11" i="42"/>
  <c r="H10" i="42"/>
  <c r="G13" i="41"/>
  <c r="H12" i="41"/>
  <c r="G12" i="40"/>
  <c r="H11" i="40"/>
  <c r="G11" i="39"/>
  <c r="H10" i="39"/>
  <c r="F36" i="37"/>
  <c r="E36" i="37"/>
  <c r="G6" i="37"/>
  <c r="G7" i="37" s="1"/>
  <c r="G5" i="37"/>
  <c r="G36" i="37" s="1"/>
  <c r="H36" i="37" s="1"/>
  <c r="C15" i="18"/>
  <c r="H13" i="49" l="1"/>
  <c r="G14" i="49"/>
  <c r="H13" i="48"/>
  <c r="G14" i="48"/>
  <c r="G13" i="47"/>
  <c r="H12" i="47"/>
  <c r="H13" i="46"/>
  <c r="G14" i="46"/>
  <c r="G12" i="44"/>
  <c r="H11" i="44"/>
  <c r="H13" i="43"/>
  <c r="G14" i="43"/>
  <c r="G12" i="42"/>
  <c r="H11" i="42"/>
  <c r="H13" i="41"/>
  <c r="G14" i="41"/>
  <c r="G13" i="40"/>
  <c r="H12" i="40"/>
  <c r="G12" i="39"/>
  <c r="H11" i="39"/>
  <c r="H7" i="37"/>
  <c r="G8" i="37"/>
  <c r="H6" i="37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H33" i="36"/>
  <c r="H34" i="36"/>
  <c r="H35" i="36"/>
  <c r="H36" i="36"/>
  <c r="H37" i="36"/>
  <c r="H38" i="36"/>
  <c r="H39" i="36"/>
  <c r="H40" i="36"/>
  <c r="H41" i="36"/>
  <c r="H42" i="36"/>
  <c r="H43" i="36"/>
  <c r="H44" i="36"/>
  <c r="H45" i="36"/>
  <c r="H46" i="36"/>
  <c r="H47" i="36"/>
  <c r="H48" i="36"/>
  <c r="H49" i="36"/>
  <c r="H50" i="36"/>
  <c r="H51" i="36"/>
  <c r="H52" i="36"/>
  <c r="H53" i="36"/>
  <c r="H54" i="36"/>
  <c r="H55" i="36"/>
  <c r="H56" i="36"/>
  <c r="H57" i="36"/>
  <c r="H58" i="36"/>
  <c r="H59" i="36"/>
  <c r="H60" i="36"/>
  <c r="H61" i="36"/>
  <c r="H62" i="36"/>
  <c r="H63" i="36"/>
  <c r="H64" i="36"/>
  <c r="H65" i="36"/>
  <c r="H66" i="36"/>
  <c r="H67" i="36"/>
  <c r="H68" i="36"/>
  <c r="H69" i="36"/>
  <c r="H70" i="36"/>
  <c r="H71" i="36"/>
  <c r="H72" i="36"/>
  <c r="H73" i="36"/>
  <c r="H74" i="36"/>
  <c r="H75" i="36"/>
  <c r="H76" i="36"/>
  <c r="H77" i="36"/>
  <c r="H78" i="36"/>
  <c r="H79" i="36"/>
  <c r="H80" i="36"/>
  <c r="H81" i="36"/>
  <c r="H82" i="36"/>
  <c r="H83" i="36"/>
  <c r="H84" i="36"/>
  <c r="H85" i="36"/>
  <c r="H86" i="36"/>
  <c r="H87" i="36"/>
  <c r="H88" i="36"/>
  <c r="H89" i="36"/>
  <c r="H90" i="36"/>
  <c r="H91" i="36"/>
  <c r="H92" i="36"/>
  <c r="H93" i="36"/>
  <c r="H94" i="36"/>
  <c r="H95" i="36"/>
  <c r="H96" i="36"/>
  <c r="H97" i="36"/>
  <c r="H98" i="36"/>
  <c r="H99" i="36"/>
  <c r="H100" i="36"/>
  <c r="H101" i="36"/>
  <c r="H102" i="36"/>
  <c r="H103" i="36"/>
  <c r="H104" i="36"/>
  <c r="H6" i="36"/>
  <c r="G15" i="49" l="1"/>
  <c r="H14" i="49"/>
  <c r="G15" i="48"/>
  <c r="H14" i="48"/>
  <c r="H13" i="47"/>
  <c r="G14" i="47"/>
  <c r="G15" i="46"/>
  <c r="H14" i="46"/>
  <c r="G13" i="44"/>
  <c r="H12" i="44"/>
  <c r="H14" i="43"/>
  <c r="G15" i="43"/>
  <c r="G13" i="42"/>
  <c r="H12" i="42"/>
  <c r="G15" i="41"/>
  <c r="H14" i="41"/>
  <c r="G14" i="40"/>
  <c r="H13" i="40"/>
  <c r="H12" i="39"/>
  <c r="G13" i="39"/>
  <c r="G9" i="37"/>
  <c r="H8" i="37"/>
  <c r="H105" i="36"/>
  <c r="G105" i="36"/>
  <c r="I6" i="36"/>
  <c r="J6" i="36" s="1"/>
  <c r="F12" i="33"/>
  <c r="H15" i="49" l="1"/>
  <c r="G16" i="49"/>
  <c r="H15" i="48"/>
  <c r="G16" i="48"/>
  <c r="G15" i="47"/>
  <c r="H14" i="47"/>
  <c r="H15" i="46"/>
  <c r="G16" i="46"/>
  <c r="H13" i="44"/>
  <c r="G14" i="44"/>
  <c r="H15" i="43"/>
  <c r="G16" i="43"/>
  <c r="G14" i="42"/>
  <c r="H13" i="42"/>
  <c r="H15" i="41"/>
  <c r="G16" i="41"/>
  <c r="G15" i="40"/>
  <c r="H14" i="40"/>
  <c r="H13" i="39"/>
  <c r="G14" i="39"/>
  <c r="H9" i="37"/>
  <c r="G10" i="37"/>
  <c r="I7" i="36"/>
  <c r="I8" i="36" s="1"/>
  <c r="J8" i="36" s="1"/>
  <c r="G17" i="49" l="1"/>
  <c r="H16" i="49"/>
  <c r="G17" i="48"/>
  <c r="H16" i="48"/>
  <c r="H15" i="47"/>
  <c r="G16" i="47"/>
  <c r="G17" i="46"/>
  <c r="H16" i="46"/>
  <c r="G15" i="44"/>
  <c r="H14" i="44"/>
  <c r="G17" i="43"/>
  <c r="H16" i="43"/>
  <c r="G15" i="42"/>
  <c r="H14" i="42"/>
  <c r="G17" i="41"/>
  <c r="H16" i="41"/>
  <c r="G16" i="40"/>
  <c r="H15" i="40"/>
  <c r="H14" i="39"/>
  <c r="G15" i="39"/>
  <c r="G11" i="37"/>
  <c r="H10" i="37"/>
  <c r="J7" i="36"/>
  <c r="I9" i="36"/>
  <c r="J9" i="36" s="1"/>
  <c r="F132" i="35"/>
  <c r="E132" i="35"/>
  <c r="G6" i="35"/>
  <c r="G7" i="35" s="1"/>
  <c r="G8" i="35" s="1"/>
  <c r="G9" i="35" s="1"/>
  <c r="G10" i="35" s="1"/>
  <c r="G11" i="35" s="1"/>
  <c r="G12" i="35" s="1"/>
  <c r="G13" i="35" s="1"/>
  <c r="G14" i="35" s="1"/>
  <c r="H17" i="49" l="1"/>
  <c r="G18" i="49"/>
  <c r="H17" i="48"/>
  <c r="G18" i="48"/>
  <c r="G17" i="47"/>
  <c r="H16" i="47"/>
  <c r="H17" i="46"/>
  <c r="G18" i="46"/>
  <c r="G16" i="44"/>
  <c r="H15" i="44"/>
  <c r="H17" i="43"/>
  <c r="G18" i="43"/>
  <c r="G16" i="42"/>
  <c r="H15" i="42"/>
  <c r="H17" i="41"/>
  <c r="G18" i="41"/>
  <c r="G17" i="40"/>
  <c r="H16" i="40"/>
  <c r="H15" i="39"/>
  <c r="G16" i="39"/>
  <c r="H11" i="37"/>
  <c r="G12" i="37"/>
  <c r="I10" i="36"/>
  <c r="J10" i="36" s="1"/>
  <c r="G15" i="35"/>
  <c r="G16" i="35" s="1"/>
  <c r="G17" i="35" s="1"/>
  <c r="G18" i="35" s="1"/>
  <c r="G19" i="35" s="1"/>
  <c r="G20" i="35" s="1"/>
  <c r="G21" i="35" s="1"/>
  <c r="G22" i="35" s="1"/>
  <c r="G23" i="35" s="1"/>
  <c r="G24" i="35" s="1"/>
  <c r="G25" i="35" s="1"/>
  <c r="G26" i="35" s="1"/>
  <c r="G27" i="35" s="1"/>
  <c r="G132" i="35"/>
  <c r="C10" i="18" s="1"/>
  <c r="H7" i="35"/>
  <c r="H6" i="35"/>
  <c r="G19" i="49" l="1"/>
  <c r="H18" i="49"/>
  <c r="G19" i="48"/>
  <c r="H18" i="48"/>
  <c r="H17" i="47"/>
  <c r="G18" i="47"/>
  <c r="G19" i="46"/>
  <c r="H18" i="46"/>
  <c r="G17" i="44"/>
  <c r="H16" i="44"/>
  <c r="H18" i="43"/>
  <c r="G19" i="43"/>
  <c r="G17" i="42"/>
  <c r="H16" i="42"/>
  <c r="G19" i="41"/>
  <c r="H18" i="41"/>
  <c r="H17" i="40"/>
  <c r="G18" i="40"/>
  <c r="H16" i="39"/>
  <c r="G17" i="39"/>
  <c r="G13" i="37"/>
  <c r="H12" i="37"/>
  <c r="G28" i="35"/>
  <c r="H27" i="35"/>
  <c r="I11" i="36"/>
  <c r="I12" i="36" s="1"/>
  <c r="H132" i="35"/>
  <c r="H8" i="35"/>
  <c r="F36" i="34"/>
  <c r="E36" i="34"/>
  <c r="H19" i="49" l="1"/>
  <c r="G20" i="49"/>
  <c r="H19" i="48"/>
  <c r="G20" i="48"/>
  <c r="G19" i="47"/>
  <c r="H18" i="47"/>
  <c r="H19" i="46"/>
  <c r="G20" i="46"/>
  <c r="G18" i="44"/>
  <c r="H17" i="44"/>
  <c r="H19" i="43"/>
  <c r="G20" i="43"/>
  <c r="G18" i="42"/>
  <c r="H17" i="42"/>
  <c r="H19" i="41"/>
  <c r="G20" i="41"/>
  <c r="G19" i="40"/>
  <c r="H18" i="40"/>
  <c r="H17" i="39"/>
  <c r="G18" i="39"/>
  <c r="H13" i="37"/>
  <c r="G14" i="37"/>
  <c r="G29" i="35"/>
  <c r="H28" i="35"/>
  <c r="J11" i="36"/>
  <c r="J12" i="36"/>
  <c r="I13" i="36"/>
  <c r="H9" i="35"/>
  <c r="F36" i="33"/>
  <c r="E36" i="33"/>
  <c r="G21" i="49" l="1"/>
  <c r="H20" i="49"/>
  <c r="G21" i="48"/>
  <c r="H20" i="48"/>
  <c r="H19" i="47"/>
  <c r="G20" i="47"/>
  <c r="G21" i="46"/>
  <c r="H20" i="46"/>
  <c r="G19" i="44"/>
  <c r="H18" i="44"/>
  <c r="G21" i="43"/>
  <c r="H20" i="43"/>
  <c r="G19" i="42"/>
  <c r="H18" i="42"/>
  <c r="G21" i="41"/>
  <c r="H20" i="41"/>
  <c r="G20" i="40"/>
  <c r="H19" i="40"/>
  <c r="H18" i="39"/>
  <c r="G19" i="39"/>
  <c r="G15" i="37"/>
  <c r="H14" i="37"/>
  <c r="G30" i="35"/>
  <c r="H29" i="35"/>
  <c r="I14" i="36"/>
  <c r="J13" i="36"/>
  <c r="H10" i="35"/>
  <c r="H21" i="49" l="1"/>
  <c r="G22" i="49"/>
  <c r="H21" i="48"/>
  <c r="G22" i="48"/>
  <c r="G21" i="47"/>
  <c r="H20" i="47"/>
  <c r="H21" i="46"/>
  <c r="G22" i="46"/>
  <c r="G20" i="44"/>
  <c r="H19" i="44"/>
  <c r="H21" i="43"/>
  <c r="G22" i="43"/>
  <c r="G20" i="42"/>
  <c r="H19" i="42"/>
  <c r="H21" i="41"/>
  <c r="G22" i="41"/>
  <c r="G21" i="40"/>
  <c r="H20" i="40"/>
  <c r="H19" i="39"/>
  <c r="G20" i="39"/>
  <c r="G21" i="39" s="1"/>
  <c r="H21" i="39" s="1"/>
  <c r="H15" i="37"/>
  <c r="G16" i="37"/>
  <c r="G31" i="35"/>
  <c r="H30" i="35"/>
  <c r="J14" i="36"/>
  <c r="I15" i="36"/>
  <c r="H11" i="35"/>
  <c r="F36" i="32"/>
  <c r="E36" i="32"/>
  <c r="G23" i="49" l="1"/>
  <c r="H22" i="49"/>
  <c r="G23" i="48"/>
  <c r="H22" i="48"/>
  <c r="H21" i="47"/>
  <c r="G22" i="47"/>
  <c r="G23" i="46"/>
  <c r="H22" i="46"/>
  <c r="G21" i="44"/>
  <c r="H20" i="44"/>
  <c r="G23" i="43"/>
  <c r="H22" i="43"/>
  <c r="G21" i="42"/>
  <c r="H20" i="42"/>
  <c r="G23" i="41"/>
  <c r="H22" i="41"/>
  <c r="G22" i="40"/>
  <c r="H21" i="40"/>
  <c r="H20" i="39"/>
  <c r="G36" i="32"/>
  <c r="G17" i="37"/>
  <c r="H16" i="37"/>
  <c r="G32" i="35"/>
  <c r="H31" i="35"/>
  <c r="I16" i="36"/>
  <c r="J15" i="36"/>
  <c r="H12" i="35"/>
  <c r="F36" i="31"/>
  <c r="E36" i="31"/>
  <c r="G36" i="31" s="1"/>
  <c r="G6" i="31"/>
  <c r="H6" i="31" s="1"/>
  <c r="H23" i="49" l="1"/>
  <c r="G24" i="49"/>
  <c r="H23" i="48"/>
  <c r="G24" i="48"/>
  <c r="G23" i="47"/>
  <c r="H22" i="47"/>
  <c r="H23" i="46"/>
  <c r="G24" i="46"/>
  <c r="H21" i="44"/>
  <c r="G22" i="44"/>
  <c r="H23" i="43"/>
  <c r="G24" i="43"/>
  <c r="G22" i="42"/>
  <c r="H21" i="42"/>
  <c r="H23" i="41"/>
  <c r="G24" i="41"/>
  <c r="G23" i="40"/>
  <c r="H22" i="40"/>
  <c r="G22" i="39"/>
  <c r="H17" i="37"/>
  <c r="G18" i="37"/>
  <c r="G33" i="35"/>
  <c r="H32" i="35"/>
  <c r="J16" i="36"/>
  <c r="I17" i="36"/>
  <c r="H13" i="35"/>
  <c r="H36" i="31"/>
  <c r="G5" i="30"/>
  <c r="G7" i="31"/>
  <c r="G25" i="49" l="1"/>
  <c r="H24" i="49"/>
  <c r="G25" i="48"/>
  <c r="H24" i="48"/>
  <c r="H23" i="47"/>
  <c r="G24" i="47"/>
  <c r="G25" i="46"/>
  <c r="H24" i="46"/>
  <c r="G23" i="44"/>
  <c r="H22" i="44"/>
  <c r="G25" i="43"/>
  <c r="H24" i="43"/>
  <c r="G23" i="42"/>
  <c r="H22" i="42"/>
  <c r="G25" i="41"/>
  <c r="H24" i="41"/>
  <c r="G24" i="40"/>
  <c r="H23" i="40"/>
  <c r="H22" i="39"/>
  <c r="G23" i="39"/>
  <c r="G19" i="37"/>
  <c r="H18" i="37"/>
  <c r="G34" i="35"/>
  <c r="H33" i="35"/>
  <c r="I18" i="36"/>
  <c r="I19" i="36" s="1"/>
  <c r="J17" i="36"/>
  <c r="H14" i="35"/>
  <c r="H7" i="31"/>
  <c r="G8" i="31"/>
  <c r="H25" i="49" l="1"/>
  <c r="G26" i="49"/>
  <c r="H25" i="48"/>
  <c r="G26" i="48"/>
  <c r="G25" i="47"/>
  <c r="H24" i="47"/>
  <c r="H25" i="46"/>
  <c r="G26" i="46"/>
  <c r="G24" i="44"/>
  <c r="H23" i="44"/>
  <c r="H25" i="43"/>
  <c r="G26" i="43"/>
  <c r="G24" i="42"/>
  <c r="H23" i="42"/>
  <c r="H25" i="41"/>
  <c r="G26" i="41"/>
  <c r="G25" i="40"/>
  <c r="H24" i="40"/>
  <c r="H23" i="39"/>
  <c r="G24" i="39"/>
  <c r="H19" i="37"/>
  <c r="G20" i="37"/>
  <c r="G35" i="35"/>
  <c r="H34" i="35"/>
  <c r="I20" i="36"/>
  <c r="J19" i="36"/>
  <c r="J18" i="36"/>
  <c r="H15" i="35"/>
  <c r="H8" i="31"/>
  <c r="G9" i="31"/>
  <c r="G27" i="49" l="1"/>
  <c r="H26" i="49"/>
  <c r="G27" i="48"/>
  <c r="H26" i="48"/>
  <c r="H25" i="47"/>
  <c r="G26" i="47"/>
  <c r="G27" i="46"/>
  <c r="H26" i="46"/>
  <c r="G25" i="44"/>
  <c r="H24" i="44"/>
  <c r="G27" i="43"/>
  <c r="H26" i="43"/>
  <c r="G25" i="42"/>
  <c r="H24" i="42"/>
  <c r="G27" i="41"/>
  <c r="H26" i="41"/>
  <c r="G26" i="40"/>
  <c r="H25" i="40"/>
  <c r="H24" i="39"/>
  <c r="G25" i="39"/>
  <c r="G21" i="37"/>
  <c r="H20" i="37"/>
  <c r="G36" i="35"/>
  <c r="H35" i="35"/>
  <c r="I21" i="36"/>
  <c r="J20" i="36"/>
  <c r="H16" i="35"/>
  <c r="H9" i="31"/>
  <c r="G10" i="31"/>
  <c r="F34" i="30"/>
  <c r="E34" i="30"/>
  <c r="G6" i="30"/>
  <c r="H6" i="30" s="1"/>
  <c r="F36" i="29"/>
  <c r="H27" i="49" l="1"/>
  <c r="G28" i="49"/>
  <c r="H27" i="48"/>
  <c r="G28" i="48"/>
  <c r="G27" i="47"/>
  <c r="H26" i="47"/>
  <c r="H27" i="46"/>
  <c r="G28" i="46"/>
  <c r="H25" i="44"/>
  <c r="G26" i="44"/>
  <c r="H27" i="43"/>
  <c r="G28" i="43"/>
  <c r="G26" i="42"/>
  <c r="H25" i="42"/>
  <c r="H27" i="41"/>
  <c r="G28" i="41"/>
  <c r="G27" i="40"/>
  <c r="H26" i="40"/>
  <c r="H25" i="39"/>
  <c r="G26" i="39"/>
  <c r="H21" i="37"/>
  <c r="G22" i="37"/>
  <c r="G37" i="35"/>
  <c r="H36" i="35"/>
  <c r="I22" i="36"/>
  <c r="J21" i="36"/>
  <c r="H17" i="35"/>
  <c r="G34" i="30"/>
  <c r="H10" i="31"/>
  <c r="G11" i="31"/>
  <c r="G7" i="30"/>
  <c r="E36" i="29"/>
  <c r="G36" i="29" s="1"/>
  <c r="G5" i="33" s="1"/>
  <c r="G6" i="29"/>
  <c r="H6" i="29" s="1"/>
  <c r="G29" i="49" l="1"/>
  <c r="H28" i="49"/>
  <c r="G29" i="48"/>
  <c r="H28" i="48"/>
  <c r="H27" i="47"/>
  <c r="G28" i="47"/>
  <c r="G29" i="46"/>
  <c r="H28" i="46"/>
  <c r="G27" i="44"/>
  <c r="H26" i="44"/>
  <c r="G29" i="43"/>
  <c r="H28" i="43"/>
  <c r="G27" i="42"/>
  <c r="H26" i="42"/>
  <c r="G29" i="41"/>
  <c r="H28" i="41"/>
  <c r="G28" i="40"/>
  <c r="H27" i="40"/>
  <c r="H26" i="39"/>
  <c r="G27" i="39"/>
  <c r="G23" i="37"/>
  <c r="H22" i="37"/>
  <c r="G38" i="35"/>
  <c r="H37" i="35"/>
  <c r="I23" i="36"/>
  <c r="J22" i="36"/>
  <c r="H18" i="35"/>
  <c r="G6" i="33"/>
  <c r="G36" i="33"/>
  <c r="H11" i="31"/>
  <c r="G12" i="31"/>
  <c r="H34" i="30"/>
  <c r="H7" i="30"/>
  <c r="G8" i="30"/>
  <c r="H36" i="29"/>
  <c r="G7" i="29"/>
  <c r="H29" i="49" l="1"/>
  <c r="G30" i="49"/>
  <c r="H29" i="48"/>
  <c r="G30" i="48"/>
  <c r="G29" i="47"/>
  <c r="H28" i="47"/>
  <c r="H29" i="46"/>
  <c r="G30" i="46"/>
  <c r="G28" i="44"/>
  <c r="H27" i="44"/>
  <c r="H29" i="43"/>
  <c r="G30" i="43"/>
  <c r="G28" i="42"/>
  <c r="H27" i="42"/>
  <c r="H29" i="41"/>
  <c r="G30" i="41"/>
  <c r="G29" i="40"/>
  <c r="H28" i="40"/>
  <c r="H27" i="39"/>
  <c r="G28" i="39"/>
  <c r="H23" i="37"/>
  <c r="G24" i="37"/>
  <c r="G39" i="35"/>
  <c r="H38" i="35"/>
  <c r="I24" i="36"/>
  <c r="J23" i="36"/>
  <c r="H19" i="35"/>
  <c r="H36" i="33"/>
  <c r="G7" i="33"/>
  <c r="H6" i="33"/>
  <c r="G6" i="34"/>
  <c r="G36" i="34"/>
  <c r="C9" i="18" s="1"/>
  <c r="H12" i="31"/>
  <c r="G13" i="31"/>
  <c r="H8" i="30"/>
  <c r="G9" i="30"/>
  <c r="H7" i="29"/>
  <c r="G8" i="29"/>
  <c r="G9" i="29" s="1"/>
  <c r="G31" i="49" l="1"/>
  <c r="H30" i="49"/>
  <c r="G31" i="48"/>
  <c r="H30" i="48"/>
  <c r="H29" i="47"/>
  <c r="G30" i="47"/>
  <c r="G31" i="46"/>
  <c r="H30" i="46"/>
  <c r="G29" i="44"/>
  <c r="H28" i="44"/>
  <c r="G31" i="43"/>
  <c r="H30" i="43"/>
  <c r="G29" i="42"/>
  <c r="H28" i="42"/>
  <c r="G31" i="41"/>
  <c r="H30" i="41"/>
  <c r="G30" i="40"/>
  <c r="H29" i="40"/>
  <c r="H28" i="39"/>
  <c r="G29" i="39"/>
  <c r="G25" i="37"/>
  <c r="H24" i="37"/>
  <c r="G40" i="35"/>
  <c r="H39" i="35"/>
  <c r="I25" i="36"/>
  <c r="J24" i="36"/>
  <c r="H20" i="35"/>
  <c r="G8" i="33"/>
  <c r="H7" i="33"/>
  <c r="H36" i="34"/>
  <c r="H6" i="34"/>
  <c r="G7" i="34"/>
  <c r="H13" i="31"/>
  <c r="G14" i="31"/>
  <c r="H9" i="30"/>
  <c r="G10" i="30"/>
  <c r="H8" i="29"/>
  <c r="H31" i="49" l="1"/>
  <c r="G32" i="49"/>
  <c r="H31" i="48"/>
  <c r="G32" i="48"/>
  <c r="G31" i="47"/>
  <c r="H30" i="47"/>
  <c r="H31" i="46"/>
  <c r="G32" i="46"/>
  <c r="H29" i="44"/>
  <c r="G30" i="44"/>
  <c r="H31" i="43"/>
  <c r="G32" i="43"/>
  <c r="G30" i="42"/>
  <c r="H29" i="42"/>
  <c r="H31" i="41"/>
  <c r="G32" i="41"/>
  <c r="G31" i="40"/>
  <c r="H30" i="40"/>
  <c r="H29" i="39"/>
  <c r="G30" i="39"/>
  <c r="H25" i="37"/>
  <c r="G26" i="37"/>
  <c r="G41" i="35"/>
  <c r="H40" i="35"/>
  <c r="I26" i="36"/>
  <c r="J25" i="36"/>
  <c r="H21" i="35"/>
  <c r="H8" i="33"/>
  <c r="G9" i="33"/>
  <c r="H7" i="34"/>
  <c r="G8" i="34"/>
  <c r="H14" i="31"/>
  <c r="G15" i="31"/>
  <c r="H10" i="30"/>
  <c r="G11" i="30"/>
  <c r="H9" i="29"/>
  <c r="G10" i="29"/>
  <c r="F36" i="28"/>
  <c r="E36" i="28"/>
  <c r="G33" i="49" l="1"/>
  <c r="H32" i="49"/>
  <c r="G33" i="48"/>
  <c r="H32" i="48"/>
  <c r="H31" i="47"/>
  <c r="G32" i="47"/>
  <c r="G33" i="46"/>
  <c r="H32" i="46"/>
  <c r="G31" i="44"/>
  <c r="H30" i="44"/>
  <c r="G33" i="43"/>
  <c r="H32" i="43"/>
  <c r="G31" i="42"/>
  <c r="H30" i="42"/>
  <c r="G33" i="41"/>
  <c r="H32" i="41"/>
  <c r="G32" i="40"/>
  <c r="H31" i="40"/>
  <c r="H30" i="39"/>
  <c r="G31" i="39"/>
  <c r="G27" i="37"/>
  <c r="H26" i="37"/>
  <c r="G42" i="35"/>
  <c r="H41" i="35"/>
  <c r="I27" i="36"/>
  <c r="J26" i="36"/>
  <c r="H22" i="35"/>
  <c r="G10" i="33"/>
  <c r="H9" i="33"/>
  <c r="G9" i="34"/>
  <c r="H8" i="34"/>
  <c r="H15" i="31"/>
  <c r="G16" i="31"/>
  <c r="H11" i="30"/>
  <c r="G12" i="30"/>
  <c r="H10" i="29"/>
  <c r="G11" i="29"/>
  <c r="H33" i="49" l="1"/>
  <c r="G34" i="49"/>
  <c r="H33" i="48"/>
  <c r="G34" i="48"/>
  <c r="G33" i="47"/>
  <c r="H32" i="47"/>
  <c r="H33" i="46"/>
  <c r="G34" i="46"/>
  <c r="G32" i="44"/>
  <c r="H31" i="44"/>
  <c r="H33" i="43"/>
  <c r="G34" i="43"/>
  <c r="G32" i="42"/>
  <c r="H31" i="42"/>
  <c r="H33" i="41"/>
  <c r="G34" i="41"/>
  <c r="G33" i="40"/>
  <c r="H32" i="40"/>
  <c r="H31" i="39"/>
  <c r="G32" i="39"/>
  <c r="H27" i="37"/>
  <c r="G28" i="37"/>
  <c r="G43" i="35"/>
  <c r="H42" i="35"/>
  <c r="I28" i="36"/>
  <c r="J27" i="36"/>
  <c r="H23" i="35"/>
  <c r="G11" i="33"/>
  <c r="H10" i="33"/>
  <c r="H9" i="34"/>
  <c r="G10" i="34"/>
  <c r="H16" i="31"/>
  <c r="G17" i="31"/>
  <c r="H12" i="30"/>
  <c r="G13" i="30"/>
  <c r="H11" i="29"/>
  <c r="G12" i="29"/>
  <c r="G35" i="49" l="1"/>
  <c r="H35" i="49" s="1"/>
  <c r="H34" i="49"/>
  <c r="G35" i="48"/>
  <c r="H35" i="48" s="1"/>
  <c r="H34" i="48"/>
  <c r="H33" i="47"/>
  <c r="G34" i="47"/>
  <c r="G35" i="46"/>
  <c r="H35" i="46" s="1"/>
  <c r="H34" i="46"/>
  <c r="G33" i="44"/>
  <c r="H32" i="44"/>
  <c r="G35" i="43"/>
  <c r="H35" i="43" s="1"/>
  <c r="H34" i="43"/>
  <c r="G33" i="42"/>
  <c r="H32" i="42"/>
  <c r="G35" i="41"/>
  <c r="H35" i="41" s="1"/>
  <c r="H34" i="41"/>
  <c r="H33" i="40"/>
  <c r="G34" i="40"/>
  <c r="H32" i="39"/>
  <c r="G33" i="39"/>
  <c r="G29" i="37"/>
  <c r="H28" i="37"/>
  <c r="G44" i="35"/>
  <c r="H43" i="35"/>
  <c r="I29" i="36"/>
  <c r="J28" i="36"/>
  <c r="H24" i="35"/>
  <c r="G12" i="33"/>
  <c r="H11" i="33"/>
  <c r="H10" i="34"/>
  <c r="G11" i="34"/>
  <c r="H17" i="31"/>
  <c r="G18" i="31"/>
  <c r="H13" i="30"/>
  <c r="G14" i="30"/>
  <c r="H12" i="29"/>
  <c r="G13" i="29"/>
  <c r="G35" i="47" l="1"/>
  <c r="H35" i="47" s="1"/>
  <c r="H34" i="47"/>
  <c r="H33" i="44"/>
  <c r="G34" i="44"/>
  <c r="G34" i="42"/>
  <c r="H33" i="42"/>
  <c r="G35" i="40"/>
  <c r="H34" i="40"/>
  <c r="H33" i="39"/>
  <c r="G34" i="39"/>
  <c r="H29" i="37"/>
  <c r="G30" i="37"/>
  <c r="G45" i="35"/>
  <c r="H44" i="35"/>
  <c r="I30" i="36"/>
  <c r="J29" i="36"/>
  <c r="H25" i="35"/>
  <c r="G13" i="33"/>
  <c r="H12" i="33"/>
  <c r="G12" i="34"/>
  <c r="H11" i="34"/>
  <c r="H18" i="31"/>
  <c r="G19" i="31"/>
  <c r="H14" i="30"/>
  <c r="G15" i="30"/>
  <c r="H13" i="29"/>
  <c r="G14" i="29"/>
  <c r="G35" i="44" l="1"/>
  <c r="H35" i="44" s="1"/>
  <c r="H34" i="44"/>
  <c r="G35" i="42"/>
  <c r="H35" i="42" s="1"/>
  <c r="H34" i="42"/>
  <c r="H35" i="40"/>
  <c r="G36" i="40"/>
  <c r="H34" i="39"/>
  <c r="G35" i="39"/>
  <c r="H35" i="39" s="1"/>
  <c r="G31" i="37"/>
  <c r="H30" i="37"/>
  <c r="G46" i="35"/>
  <c r="H45" i="35"/>
  <c r="I31" i="36"/>
  <c r="J30" i="36"/>
  <c r="H26" i="35"/>
  <c r="G14" i="33"/>
  <c r="H13" i="33"/>
  <c r="G13" i="34"/>
  <c r="H12" i="34"/>
  <c r="H19" i="31"/>
  <c r="G20" i="31"/>
  <c r="H15" i="30"/>
  <c r="G16" i="30"/>
  <c r="H14" i="29"/>
  <c r="G15" i="29"/>
  <c r="F36" i="27"/>
  <c r="E36" i="27"/>
  <c r="G37" i="40" l="1"/>
  <c r="H36" i="40"/>
  <c r="H31" i="37"/>
  <c r="G32" i="37"/>
  <c r="G47" i="35"/>
  <c r="H46" i="35"/>
  <c r="I32" i="36"/>
  <c r="J31" i="36"/>
  <c r="G15" i="33"/>
  <c r="H14" i="33"/>
  <c r="H13" i="34"/>
  <c r="G14" i="34"/>
  <c r="H20" i="31"/>
  <c r="G21" i="31"/>
  <c r="H16" i="30"/>
  <c r="G17" i="30"/>
  <c r="H15" i="29"/>
  <c r="G16" i="29"/>
  <c r="F36" i="26"/>
  <c r="E36" i="26"/>
  <c r="G38" i="40" l="1"/>
  <c r="H37" i="40"/>
  <c r="G33" i="37"/>
  <c r="H32" i="37"/>
  <c r="G48" i="35"/>
  <c r="H47" i="35"/>
  <c r="I33" i="36"/>
  <c r="J32" i="36"/>
  <c r="G16" i="33"/>
  <c r="H15" i="33"/>
  <c r="H14" i="34"/>
  <c r="G15" i="34"/>
  <c r="H21" i="31"/>
  <c r="G22" i="31"/>
  <c r="H17" i="30"/>
  <c r="G18" i="30"/>
  <c r="H16" i="29"/>
  <c r="G17" i="29"/>
  <c r="G39" i="40" l="1"/>
  <c r="H38" i="40"/>
  <c r="H33" i="37"/>
  <c r="G34" i="37"/>
  <c r="G49" i="35"/>
  <c r="H48" i="35"/>
  <c r="I34" i="36"/>
  <c r="J33" i="36"/>
  <c r="G17" i="33"/>
  <c r="H16" i="33"/>
  <c r="H15" i="34"/>
  <c r="G16" i="34"/>
  <c r="H22" i="31"/>
  <c r="G23" i="31"/>
  <c r="H18" i="30"/>
  <c r="G19" i="30"/>
  <c r="H17" i="29"/>
  <c r="G18" i="29"/>
  <c r="F36" i="25"/>
  <c r="E36" i="25"/>
  <c r="H39" i="40" l="1"/>
  <c r="G40" i="40"/>
  <c r="G35" i="37"/>
  <c r="H35" i="37" s="1"/>
  <c r="H34" i="37"/>
  <c r="G50" i="35"/>
  <c r="H49" i="35"/>
  <c r="I35" i="36"/>
  <c r="J34" i="36"/>
  <c r="H17" i="33"/>
  <c r="G18" i="33"/>
  <c r="G17" i="34"/>
  <c r="H16" i="34"/>
  <c r="H23" i="31"/>
  <c r="G24" i="31"/>
  <c r="H19" i="30"/>
  <c r="G20" i="30"/>
  <c r="H18" i="29"/>
  <c r="G19" i="29"/>
  <c r="C16" i="18"/>
  <c r="G41" i="40" l="1"/>
  <c r="H40" i="40"/>
  <c r="G51" i="35"/>
  <c r="H50" i="35"/>
  <c r="I36" i="36"/>
  <c r="J35" i="36"/>
  <c r="H18" i="33"/>
  <c r="G19" i="33"/>
  <c r="H17" i="34"/>
  <c r="G18" i="34"/>
  <c r="H24" i="31"/>
  <c r="G25" i="31"/>
  <c r="H20" i="30"/>
  <c r="G21" i="30"/>
  <c r="H19" i="29"/>
  <c r="G20" i="29"/>
  <c r="E36" i="23"/>
  <c r="F36" i="23"/>
  <c r="G42" i="40" l="1"/>
  <c r="H41" i="40"/>
  <c r="G52" i="35"/>
  <c r="H51" i="35"/>
  <c r="I37" i="36"/>
  <c r="J36" i="36"/>
  <c r="H19" i="33"/>
  <c r="G20" i="33"/>
  <c r="H18" i="34"/>
  <c r="G19" i="34"/>
  <c r="H25" i="31"/>
  <c r="G26" i="31"/>
  <c r="H21" i="30"/>
  <c r="G22" i="30"/>
  <c r="H20" i="29"/>
  <c r="G21" i="29"/>
  <c r="F28" i="22"/>
  <c r="G43" i="40" l="1"/>
  <c r="H42" i="40"/>
  <c r="G53" i="35"/>
  <c r="H52" i="35"/>
  <c r="I38" i="36"/>
  <c r="J37" i="36"/>
  <c r="G21" i="33"/>
  <c r="H20" i="33"/>
  <c r="G20" i="34"/>
  <c r="H19" i="34"/>
  <c r="H26" i="31"/>
  <c r="G27" i="31"/>
  <c r="H22" i="30"/>
  <c r="G23" i="30"/>
  <c r="H21" i="29"/>
  <c r="G22" i="29"/>
  <c r="F26" i="22"/>
  <c r="H43" i="40" l="1"/>
  <c r="G44" i="40"/>
  <c r="G54" i="35"/>
  <c r="H53" i="35"/>
  <c r="I39" i="36"/>
  <c r="J38" i="36"/>
  <c r="G22" i="33"/>
  <c r="H21" i="33"/>
  <c r="G21" i="34"/>
  <c r="H20" i="34"/>
  <c r="H27" i="31"/>
  <c r="G28" i="31"/>
  <c r="H23" i="30"/>
  <c r="G24" i="30"/>
  <c r="H22" i="29"/>
  <c r="G23" i="29"/>
  <c r="F36" i="22"/>
  <c r="E36" i="22"/>
  <c r="G45" i="40" l="1"/>
  <c r="H44" i="40"/>
  <c r="G55" i="35"/>
  <c r="H54" i="35"/>
  <c r="I40" i="36"/>
  <c r="J39" i="36"/>
  <c r="G23" i="33"/>
  <c r="H22" i="33"/>
  <c r="H21" i="34"/>
  <c r="G22" i="34"/>
  <c r="H28" i="31"/>
  <c r="G29" i="31"/>
  <c r="H24" i="30"/>
  <c r="G25" i="30"/>
  <c r="H23" i="29"/>
  <c r="G24" i="29"/>
  <c r="E36" i="21"/>
  <c r="F36" i="21"/>
  <c r="H45" i="40" l="1"/>
  <c r="G46" i="40"/>
  <c r="G56" i="35"/>
  <c r="H55" i="35"/>
  <c r="I41" i="36"/>
  <c r="J40" i="36"/>
  <c r="G24" i="33"/>
  <c r="H23" i="33"/>
  <c r="G23" i="34"/>
  <c r="H22" i="34"/>
  <c r="H29" i="31"/>
  <c r="G30" i="31"/>
  <c r="H25" i="30"/>
  <c r="G26" i="30"/>
  <c r="H24" i="29"/>
  <c r="G25" i="29"/>
  <c r="F31" i="20"/>
  <c r="G47" i="40" l="1"/>
  <c r="H46" i="40"/>
  <c r="G57" i="35"/>
  <c r="H56" i="35"/>
  <c r="I42" i="36"/>
  <c r="J41" i="36"/>
  <c r="G25" i="33"/>
  <c r="H24" i="33"/>
  <c r="H23" i="34"/>
  <c r="G24" i="34"/>
  <c r="H30" i="31"/>
  <c r="G31" i="31"/>
  <c r="H26" i="30"/>
  <c r="G27" i="30"/>
  <c r="H25" i="29"/>
  <c r="G26" i="29"/>
  <c r="F29" i="20"/>
  <c r="G48" i="40" l="1"/>
  <c r="H47" i="40"/>
  <c r="G58" i="35"/>
  <c r="H57" i="35"/>
  <c r="I43" i="36"/>
  <c r="J42" i="36"/>
  <c r="G26" i="33"/>
  <c r="H25" i="33"/>
  <c r="H24" i="34"/>
  <c r="G25" i="34"/>
  <c r="H31" i="31"/>
  <c r="G32" i="31"/>
  <c r="H27" i="30"/>
  <c r="G28" i="30"/>
  <c r="H26" i="29"/>
  <c r="G27" i="29"/>
  <c r="F36" i="20"/>
  <c r="E36" i="20"/>
  <c r="G49" i="40" l="1"/>
  <c r="H48" i="40"/>
  <c r="G59" i="35"/>
  <c r="H58" i="35"/>
  <c r="I44" i="36"/>
  <c r="J43" i="36"/>
  <c r="G27" i="33"/>
  <c r="H26" i="33"/>
  <c r="H25" i="34"/>
  <c r="G26" i="34"/>
  <c r="H32" i="31"/>
  <c r="G33" i="31"/>
  <c r="H28" i="30"/>
  <c r="G29" i="30"/>
  <c r="H27" i="29"/>
  <c r="G28" i="29"/>
  <c r="F36" i="19"/>
  <c r="E36" i="19"/>
  <c r="H49" i="40" l="1"/>
  <c r="G50" i="40"/>
  <c r="G60" i="35"/>
  <c r="H59" i="35"/>
  <c r="I45" i="36"/>
  <c r="J44" i="36"/>
  <c r="G28" i="33"/>
  <c r="H27" i="33"/>
  <c r="G27" i="34"/>
  <c r="H26" i="34"/>
  <c r="H33" i="31"/>
  <c r="G34" i="31"/>
  <c r="H29" i="30"/>
  <c r="G30" i="30"/>
  <c r="H28" i="29"/>
  <c r="G29" i="29"/>
  <c r="F36" i="17"/>
  <c r="E36" i="17"/>
  <c r="G51" i="40" l="1"/>
  <c r="H50" i="40"/>
  <c r="G61" i="35"/>
  <c r="H60" i="35"/>
  <c r="I46" i="36"/>
  <c r="J45" i="36"/>
  <c r="G29" i="33"/>
  <c r="H28" i="33"/>
  <c r="H27" i="34"/>
  <c r="G28" i="34"/>
  <c r="H34" i="31"/>
  <c r="G35" i="31"/>
  <c r="H35" i="31" s="1"/>
  <c r="H30" i="30"/>
  <c r="G31" i="30"/>
  <c r="H29" i="29"/>
  <c r="G30" i="29"/>
  <c r="F36" i="14"/>
  <c r="E36" i="14"/>
  <c r="H51" i="40" l="1"/>
  <c r="G52" i="40"/>
  <c r="G62" i="35"/>
  <c r="H61" i="35"/>
  <c r="I47" i="36"/>
  <c r="J46" i="36"/>
  <c r="G30" i="33"/>
  <c r="H29" i="33"/>
  <c r="H28" i="34"/>
  <c r="G29" i="34"/>
  <c r="H31" i="30"/>
  <c r="G32" i="30"/>
  <c r="H30" i="29"/>
  <c r="G31" i="29"/>
  <c r="F36" i="8"/>
  <c r="E36" i="8"/>
  <c r="G53" i="40" l="1"/>
  <c r="H52" i="40"/>
  <c r="G63" i="35"/>
  <c r="H62" i="35"/>
  <c r="I48" i="36"/>
  <c r="J47" i="36"/>
  <c r="G31" i="33"/>
  <c r="H30" i="33"/>
  <c r="H29" i="34"/>
  <c r="G30" i="34"/>
  <c r="H32" i="30"/>
  <c r="G33" i="30"/>
  <c r="H31" i="29"/>
  <c r="G32" i="29"/>
  <c r="G6" i="6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F36" i="6"/>
  <c r="E36" i="6"/>
  <c r="G54" i="40" l="1"/>
  <c r="H53" i="40"/>
  <c r="G64" i="35"/>
  <c r="H63" i="35"/>
  <c r="I49" i="36"/>
  <c r="J48" i="36"/>
  <c r="G32" i="33"/>
  <c r="H31" i="33"/>
  <c r="G31" i="34"/>
  <c r="H30" i="34"/>
  <c r="H33" i="30"/>
  <c r="H32" i="29"/>
  <c r="G33" i="29"/>
  <c r="G36" i="6"/>
  <c r="G55" i="40" l="1"/>
  <c r="H54" i="40"/>
  <c r="G65" i="35"/>
  <c r="H64" i="35"/>
  <c r="I50" i="36"/>
  <c r="J49" i="36"/>
  <c r="G33" i="33"/>
  <c r="H32" i="33"/>
  <c r="H31" i="34"/>
  <c r="G32" i="34"/>
  <c r="H33" i="29"/>
  <c r="G34" i="29"/>
  <c r="G5" i="8"/>
  <c r="G36" i="8" s="1"/>
  <c r="G5" i="14" s="1"/>
  <c r="H6" i="6"/>
  <c r="H55" i="40" l="1"/>
  <c r="G56" i="40"/>
  <c r="G66" i="35"/>
  <c r="H65" i="35"/>
  <c r="I51" i="36"/>
  <c r="J50" i="36"/>
  <c r="G34" i="33"/>
  <c r="H33" i="33"/>
  <c r="G33" i="34"/>
  <c r="H32" i="34"/>
  <c r="H34" i="29"/>
  <c r="G35" i="29"/>
  <c r="H35" i="29" s="1"/>
  <c r="G6" i="8"/>
  <c r="G36" i="14"/>
  <c r="G6" i="14"/>
  <c r="H36" i="8"/>
  <c r="H6" i="8"/>
  <c r="G7" i="8"/>
  <c r="H36" i="6"/>
  <c r="H7" i="6"/>
  <c r="H8" i="6"/>
  <c r="G57" i="40" l="1"/>
  <c r="H56" i="40"/>
  <c r="G67" i="35"/>
  <c r="H66" i="35"/>
  <c r="I52" i="36"/>
  <c r="J51" i="36"/>
  <c r="G35" i="33"/>
  <c r="H35" i="33" s="1"/>
  <c r="H34" i="33"/>
  <c r="H33" i="34"/>
  <c r="G34" i="34"/>
  <c r="H36" i="14"/>
  <c r="G5" i="17"/>
  <c r="H6" i="14"/>
  <c r="G7" i="14"/>
  <c r="H7" i="8"/>
  <c r="G8" i="8"/>
  <c r="H9" i="6"/>
  <c r="H57" i="40" l="1"/>
  <c r="G58" i="40"/>
  <c r="G68" i="35"/>
  <c r="H67" i="35"/>
  <c r="I53" i="36"/>
  <c r="J52" i="36"/>
  <c r="G35" i="34"/>
  <c r="H35" i="34" s="1"/>
  <c r="H34" i="34"/>
  <c r="H7" i="14"/>
  <c r="G8" i="14"/>
  <c r="G6" i="17"/>
  <c r="G36" i="17"/>
  <c r="H8" i="8"/>
  <c r="G9" i="8"/>
  <c r="H10" i="6"/>
  <c r="G59" i="40" l="1"/>
  <c r="H58" i="40"/>
  <c r="G69" i="35"/>
  <c r="H68" i="35"/>
  <c r="I54" i="36"/>
  <c r="J53" i="36"/>
  <c r="G5" i="19"/>
  <c r="H36" i="17"/>
  <c r="G9" i="14"/>
  <c r="H8" i="14"/>
  <c r="G7" i="17"/>
  <c r="H6" i="17"/>
  <c r="H9" i="8"/>
  <c r="G10" i="8"/>
  <c r="H11" i="6"/>
  <c r="H59" i="40" l="1"/>
  <c r="G60" i="40"/>
  <c r="G70" i="35"/>
  <c r="H69" i="35"/>
  <c r="I55" i="36"/>
  <c r="J54" i="36"/>
  <c r="H7" i="17"/>
  <c r="G8" i="17"/>
  <c r="H9" i="14"/>
  <c r="G10" i="14"/>
  <c r="G6" i="19"/>
  <c r="G36" i="19"/>
  <c r="H10" i="8"/>
  <c r="G11" i="8"/>
  <c r="H12" i="6"/>
  <c r="G61" i="40" l="1"/>
  <c r="H60" i="40"/>
  <c r="G71" i="35"/>
  <c r="H70" i="35"/>
  <c r="I56" i="36"/>
  <c r="J55" i="36"/>
  <c r="G5" i="20"/>
  <c r="H36" i="19"/>
  <c r="H10" i="14"/>
  <c r="G11" i="14"/>
  <c r="H8" i="17"/>
  <c r="G9" i="17"/>
  <c r="H6" i="19"/>
  <c r="G7" i="19"/>
  <c r="H11" i="8"/>
  <c r="G12" i="8"/>
  <c r="H13" i="6"/>
  <c r="G62" i="40" l="1"/>
  <c r="H61" i="40"/>
  <c r="G72" i="35"/>
  <c r="H71" i="35"/>
  <c r="I57" i="36"/>
  <c r="J56" i="36"/>
  <c r="G36" i="20"/>
  <c r="G6" i="20"/>
  <c r="H7" i="19"/>
  <c r="G8" i="19"/>
  <c r="H9" i="17"/>
  <c r="G10" i="17"/>
  <c r="H11" i="14"/>
  <c r="G12" i="14"/>
  <c r="H12" i="8"/>
  <c r="G13" i="8"/>
  <c r="H14" i="6"/>
  <c r="G63" i="40" l="1"/>
  <c r="H62" i="40"/>
  <c r="G73" i="35"/>
  <c r="H72" i="35"/>
  <c r="I58" i="36"/>
  <c r="J57" i="36"/>
  <c r="H12" i="14"/>
  <c r="G13" i="14"/>
  <c r="H10" i="17"/>
  <c r="G11" i="17"/>
  <c r="G9" i="19"/>
  <c r="H8" i="19"/>
  <c r="G7" i="20"/>
  <c r="H6" i="20"/>
  <c r="G5" i="21"/>
  <c r="H36" i="20"/>
  <c r="H13" i="8"/>
  <c r="G14" i="8"/>
  <c r="H15" i="6"/>
  <c r="H63" i="40" l="1"/>
  <c r="G64" i="40"/>
  <c r="G74" i="35"/>
  <c r="H73" i="35"/>
  <c r="I59" i="36"/>
  <c r="J58" i="36"/>
  <c r="H11" i="17"/>
  <c r="G12" i="17"/>
  <c r="H13" i="14"/>
  <c r="G14" i="14"/>
  <c r="G6" i="21"/>
  <c r="G36" i="21"/>
  <c r="H7" i="20"/>
  <c r="G8" i="20"/>
  <c r="G10" i="19"/>
  <c r="H9" i="19"/>
  <c r="H14" i="8"/>
  <c r="G15" i="8"/>
  <c r="H16" i="6"/>
  <c r="G65" i="40" l="1"/>
  <c r="H64" i="40"/>
  <c r="G75" i="35"/>
  <c r="H74" i="35"/>
  <c r="I60" i="36"/>
  <c r="J59" i="36"/>
  <c r="H8" i="20"/>
  <c r="G9" i="20"/>
  <c r="G5" i="22"/>
  <c r="H36" i="21"/>
  <c r="H14" i="14"/>
  <c r="G15" i="14"/>
  <c r="H12" i="17"/>
  <c r="G13" i="17"/>
  <c r="G11" i="19"/>
  <c r="H10" i="19"/>
  <c r="H6" i="21"/>
  <c r="G7" i="21"/>
  <c r="H15" i="8"/>
  <c r="G16" i="8"/>
  <c r="H17" i="6"/>
  <c r="G66" i="40" l="1"/>
  <c r="H65" i="40"/>
  <c r="G76" i="35"/>
  <c r="H75" i="35"/>
  <c r="I61" i="36"/>
  <c r="J60" i="36"/>
  <c r="H7" i="21"/>
  <c r="G8" i="21"/>
  <c r="H13" i="17"/>
  <c r="G14" i="17"/>
  <c r="H15" i="14"/>
  <c r="G16" i="14"/>
  <c r="H9" i="20"/>
  <c r="G10" i="20"/>
  <c r="G12" i="19"/>
  <c r="H11" i="19"/>
  <c r="G36" i="22"/>
  <c r="G6" i="22"/>
  <c r="H16" i="8"/>
  <c r="G17" i="8"/>
  <c r="H18" i="6"/>
  <c r="G67" i="40" l="1"/>
  <c r="H66" i="40"/>
  <c r="G77" i="35"/>
  <c r="H76" i="35"/>
  <c r="I62" i="36"/>
  <c r="J61" i="36"/>
  <c r="H6" i="22"/>
  <c r="G7" i="22"/>
  <c r="H10" i="20"/>
  <c r="G11" i="20"/>
  <c r="H16" i="14"/>
  <c r="G17" i="14"/>
  <c r="H14" i="17"/>
  <c r="G15" i="17"/>
  <c r="G9" i="21"/>
  <c r="H8" i="21"/>
  <c r="G5" i="23"/>
  <c r="H36" i="22"/>
  <c r="H12" i="19"/>
  <c r="G13" i="19"/>
  <c r="H17" i="8"/>
  <c r="G18" i="8"/>
  <c r="H19" i="6"/>
  <c r="H67" i="40" l="1"/>
  <c r="G68" i="40"/>
  <c r="G78" i="35"/>
  <c r="H77" i="35"/>
  <c r="I63" i="36"/>
  <c r="J62" i="36"/>
  <c r="H13" i="19"/>
  <c r="G14" i="19"/>
  <c r="H15" i="17"/>
  <c r="G16" i="17"/>
  <c r="H17" i="14"/>
  <c r="G18" i="14"/>
  <c r="H11" i="20"/>
  <c r="G12" i="20"/>
  <c r="H7" i="22"/>
  <c r="G8" i="22"/>
  <c r="G6" i="23"/>
  <c r="G36" i="23"/>
  <c r="G10" i="21"/>
  <c r="H9" i="21"/>
  <c r="H18" i="8"/>
  <c r="G19" i="8"/>
  <c r="H20" i="6"/>
  <c r="G69" i="40" l="1"/>
  <c r="H68" i="40"/>
  <c r="G79" i="35"/>
  <c r="H78" i="35"/>
  <c r="I64" i="36"/>
  <c r="J63" i="36"/>
  <c r="G11" i="21"/>
  <c r="H10" i="21"/>
  <c r="G5" i="25"/>
  <c r="H36" i="23"/>
  <c r="G9" i="22"/>
  <c r="H8" i="22"/>
  <c r="H12" i="20"/>
  <c r="G13" i="20"/>
  <c r="H18" i="14"/>
  <c r="G19" i="14"/>
  <c r="H16" i="17"/>
  <c r="G17" i="17"/>
  <c r="H14" i="19"/>
  <c r="G15" i="19"/>
  <c r="G7" i="23"/>
  <c r="H6" i="23"/>
  <c r="H19" i="8"/>
  <c r="G20" i="8"/>
  <c r="H21" i="6"/>
  <c r="H69" i="40" l="1"/>
  <c r="G70" i="40"/>
  <c r="G80" i="35"/>
  <c r="H79" i="35"/>
  <c r="I65" i="36"/>
  <c r="J64" i="36"/>
  <c r="H15" i="19"/>
  <c r="G16" i="19"/>
  <c r="H17" i="17"/>
  <c r="G18" i="17"/>
  <c r="H19" i="14"/>
  <c r="G20" i="14"/>
  <c r="H13" i="20"/>
  <c r="G14" i="20"/>
  <c r="G8" i="23"/>
  <c r="H7" i="23"/>
  <c r="G10" i="22"/>
  <c r="H9" i="22"/>
  <c r="G36" i="25"/>
  <c r="G5" i="26" s="1"/>
  <c r="G6" i="25"/>
  <c r="G12" i="21"/>
  <c r="H11" i="21"/>
  <c r="H20" i="8"/>
  <c r="G21" i="8"/>
  <c r="H22" i="6"/>
  <c r="G71" i="40" l="1"/>
  <c r="H70" i="40"/>
  <c r="G81" i="35"/>
  <c r="H80" i="35"/>
  <c r="I66" i="36"/>
  <c r="J65" i="36"/>
  <c r="G6" i="26"/>
  <c r="G36" i="26"/>
  <c r="H6" i="25"/>
  <c r="G7" i="25"/>
  <c r="H14" i="20"/>
  <c r="G15" i="20"/>
  <c r="H20" i="14"/>
  <c r="G21" i="14"/>
  <c r="H18" i="17"/>
  <c r="G19" i="17"/>
  <c r="H16" i="19"/>
  <c r="G17" i="19"/>
  <c r="H12" i="21"/>
  <c r="G13" i="21"/>
  <c r="H36" i="25"/>
  <c r="G11" i="22"/>
  <c r="H10" i="22"/>
  <c r="G9" i="23"/>
  <c r="H8" i="23"/>
  <c r="H21" i="8"/>
  <c r="G22" i="8"/>
  <c r="H23" i="6"/>
  <c r="H71" i="40" l="1"/>
  <c r="G72" i="40"/>
  <c r="G82" i="35"/>
  <c r="H81" i="35"/>
  <c r="I67" i="36"/>
  <c r="J66" i="36"/>
  <c r="G5" i="27"/>
  <c r="H36" i="26"/>
  <c r="G7" i="26"/>
  <c r="H6" i="26"/>
  <c r="H13" i="21"/>
  <c r="G14" i="21"/>
  <c r="H17" i="19"/>
  <c r="G18" i="19"/>
  <c r="H19" i="17"/>
  <c r="G20" i="17"/>
  <c r="H21" i="14"/>
  <c r="G22" i="14"/>
  <c r="G16" i="20"/>
  <c r="H15" i="20"/>
  <c r="G8" i="25"/>
  <c r="H7" i="25"/>
  <c r="G10" i="23"/>
  <c r="H9" i="23"/>
  <c r="H11" i="22"/>
  <c r="G12" i="22"/>
  <c r="H22" i="8"/>
  <c r="G23" i="8"/>
  <c r="H24" i="6"/>
  <c r="G73" i="40" l="1"/>
  <c r="H72" i="40"/>
  <c r="G83" i="35"/>
  <c r="H82" i="35"/>
  <c r="I68" i="36"/>
  <c r="J67" i="36"/>
  <c r="G8" i="26"/>
  <c r="H7" i="26"/>
  <c r="G6" i="27"/>
  <c r="G36" i="27"/>
  <c r="G5" i="28" s="1"/>
  <c r="H12" i="22"/>
  <c r="G13" i="22"/>
  <c r="H22" i="14"/>
  <c r="G23" i="14"/>
  <c r="H20" i="17"/>
  <c r="G21" i="17"/>
  <c r="H18" i="19"/>
  <c r="G19" i="19"/>
  <c r="G15" i="21"/>
  <c r="H14" i="21"/>
  <c r="G11" i="23"/>
  <c r="H10" i="23"/>
  <c r="G9" i="25"/>
  <c r="H8" i="25"/>
  <c r="G17" i="20"/>
  <c r="H16" i="20"/>
  <c r="H23" i="8"/>
  <c r="G24" i="8"/>
  <c r="H25" i="6"/>
  <c r="G74" i="40" l="1"/>
  <c r="H73" i="40"/>
  <c r="G84" i="35"/>
  <c r="H83" i="35"/>
  <c r="I69" i="36"/>
  <c r="J68" i="36"/>
  <c r="G6" i="28"/>
  <c r="G36" i="28"/>
  <c r="H36" i="27"/>
  <c r="H6" i="27"/>
  <c r="G7" i="27"/>
  <c r="H8" i="26"/>
  <c r="G9" i="26"/>
  <c r="H19" i="19"/>
  <c r="G20" i="19"/>
  <c r="H21" i="17"/>
  <c r="G22" i="17"/>
  <c r="H23" i="14"/>
  <c r="G24" i="14"/>
  <c r="H13" i="22"/>
  <c r="G14" i="22"/>
  <c r="G18" i="20"/>
  <c r="H17" i="20"/>
  <c r="G10" i="25"/>
  <c r="H9" i="25"/>
  <c r="G12" i="23"/>
  <c r="H11" i="23"/>
  <c r="G16" i="21"/>
  <c r="H15" i="21"/>
  <c r="H24" i="8"/>
  <c r="G25" i="8"/>
  <c r="H26" i="6"/>
  <c r="G75" i="40" l="1"/>
  <c r="H74" i="40"/>
  <c r="G85" i="35"/>
  <c r="H84" i="35"/>
  <c r="I70" i="36"/>
  <c r="J69" i="36"/>
  <c r="H36" i="28"/>
  <c r="H6" i="28"/>
  <c r="G7" i="28"/>
  <c r="G10" i="26"/>
  <c r="H9" i="26"/>
  <c r="H7" i="27"/>
  <c r="G8" i="27"/>
  <c r="H14" i="22"/>
  <c r="G15" i="22"/>
  <c r="H24" i="14"/>
  <c r="G25" i="14"/>
  <c r="H22" i="17"/>
  <c r="G23" i="17"/>
  <c r="H20" i="19"/>
  <c r="G21" i="19"/>
  <c r="G17" i="21"/>
  <c r="H16" i="21"/>
  <c r="G13" i="23"/>
  <c r="H12" i="23"/>
  <c r="G11" i="25"/>
  <c r="H10" i="25"/>
  <c r="G19" i="20"/>
  <c r="H18" i="20"/>
  <c r="H25" i="8"/>
  <c r="G26" i="8"/>
  <c r="H27" i="6"/>
  <c r="G76" i="40" l="1"/>
  <c r="H75" i="40"/>
  <c r="G86" i="35"/>
  <c r="H85" i="35"/>
  <c r="I71" i="36"/>
  <c r="J70" i="36"/>
  <c r="G8" i="28"/>
  <c r="H7" i="28"/>
  <c r="H10" i="26"/>
  <c r="G11" i="26"/>
  <c r="G9" i="27"/>
  <c r="H8" i="27"/>
  <c r="H21" i="19"/>
  <c r="G22" i="19"/>
  <c r="H23" i="17"/>
  <c r="G24" i="17"/>
  <c r="H25" i="14"/>
  <c r="G26" i="14"/>
  <c r="H15" i="22"/>
  <c r="G16" i="22"/>
  <c r="G20" i="20"/>
  <c r="H19" i="20"/>
  <c r="G12" i="25"/>
  <c r="H11" i="25"/>
  <c r="G14" i="23"/>
  <c r="H13" i="23"/>
  <c r="G18" i="21"/>
  <c r="H17" i="21"/>
  <c r="H26" i="8"/>
  <c r="G27" i="8"/>
  <c r="H28" i="6"/>
  <c r="G77" i="40" l="1"/>
  <c r="H76" i="40"/>
  <c r="G87" i="35"/>
  <c r="H86" i="35"/>
  <c r="I72" i="36"/>
  <c r="J71" i="36"/>
  <c r="H6" i="32"/>
  <c r="H36" i="32"/>
  <c r="G9" i="28"/>
  <c r="H8" i="28"/>
  <c r="G12" i="26"/>
  <c r="H11" i="26"/>
  <c r="H9" i="27"/>
  <c r="G10" i="27"/>
  <c r="G17" i="22"/>
  <c r="H16" i="22"/>
  <c r="H26" i="14"/>
  <c r="G27" i="14"/>
  <c r="H24" i="17"/>
  <c r="G25" i="17"/>
  <c r="H22" i="19"/>
  <c r="G23" i="19"/>
  <c r="G19" i="21"/>
  <c r="H18" i="21"/>
  <c r="G15" i="23"/>
  <c r="H14" i="23"/>
  <c r="G13" i="25"/>
  <c r="H12" i="25"/>
  <c r="G21" i="20"/>
  <c r="H20" i="20"/>
  <c r="G28" i="8"/>
  <c r="H27" i="8"/>
  <c r="H29" i="6"/>
  <c r="H77" i="40" l="1"/>
  <c r="G78" i="40"/>
  <c r="G88" i="35"/>
  <c r="H87" i="35"/>
  <c r="I73" i="36"/>
  <c r="J72" i="36"/>
  <c r="H7" i="32"/>
  <c r="G10" i="28"/>
  <c r="H9" i="28"/>
  <c r="G11" i="27"/>
  <c r="H10" i="27"/>
  <c r="G13" i="26"/>
  <c r="H12" i="26"/>
  <c r="H23" i="19"/>
  <c r="G24" i="19"/>
  <c r="H25" i="17"/>
  <c r="G26" i="17"/>
  <c r="H27" i="14"/>
  <c r="G28" i="14"/>
  <c r="G22" i="20"/>
  <c r="H21" i="20"/>
  <c r="G14" i="25"/>
  <c r="H13" i="25"/>
  <c r="G16" i="23"/>
  <c r="H15" i="23"/>
  <c r="G20" i="21"/>
  <c r="H19" i="21"/>
  <c r="G18" i="22"/>
  <c r="H17" i="22"/>
  <c r="H28" i="8"/>
  <c r="G29" i="8"/>
  <c r="H30" i="6"/>
  <c r="G79" i="40" l="1"/>
  <c r="H78" i="40"/>
  <c r="G89" i="35"/>
  <c r="H88" i="35"/>
  <c r="I74" i="36"/>
  <c r="J73" i="36"/>
  <c r="H8" i="32"/>
  <c r="G11" i="28"/>
  <c r="H10" i="28"/>
  <c r="G14" i="26"/>
  <c r="H13" i="26"/>
  <c r="G12" i="27"/>
  <c r="H11" i="27"/>
  <c r="H28" i="14"/>
  <c r="G29" i="14"/>
  <c r="H26" i="17"/>
  <c r="G27" i="17"/>
  <c r="H24" i="19"/>
  <c r="G25" i="19"/>
  <c r="G19" i="22"/>
  <c r="H18" i="22"/>
  <c r="G21" i="21"/>
  <c r="H20" i="21"/>
  <c r="G17" i="23"/>
  <c r="H16" i="23"/>
  <c r="G15" i="25"/>
  <c r="H14" i="25"/>
  <c r="G23" i="20"/>
  <c r="H22" i="20"/>
  <c r="G30" i="8"/>
  <c r="H29" i="8"/>
  <c r="H31" i="6"/>
  <c r="H79" i="40" l="1"/>
  <c r="G80" i="40"/>
  <c r="G90" i="35"/>
  <c r="H89" i="35"/>
  <c r="I75" i="36"/>
  <c r="J74" i="36"/>
  <c r="H9" i="32"/>
  <c r="G12" i="28"/>
  <c r="H11" i="28"/>
  <c r="G13" i="27"/>
  <c r="H12" i="27"/>
  <c r="G15" i="26"/>
  <c r="H14" i="26"/>
  <c r="H25" i="19"/>
  <c r="G26" i="19"/>
  <c r="H27" i="17"/>
  <c r="G28" i="17"/>
  <c r="H29" i="14"/>
  <c r="G30" i="14"/>
  <c r="G24" i="20"/>
  <c r="H23" i="20"/>
  <c r="G16" i="25"/>
  <c r="H15" i="25"/>
  <c r="G18" i="23"/>
  <c r="H17" i="23"/>
  <c r="G22" i="21"/>
  <c r="H21" i="21"/>
  <c r="G20" i="22"/>
  <c r="H19" i="22"/>
  <c r="G31" i="8"/>
  <c r="H30" i="8"/>
  <c r="H32" i="6"/>
  <c r="G81" i="40" l="1"/>
  <c r="H80" i="40"/>
  <c r="G91" i="35"/>
  <c r="H90" i="35"/>
  <c r="I76" i="36"/>
  <c r="J75" i="36"/>
  <c r="H10" i="32"/>
  <c r="G13" i="28"/>
  <c r="H12" i="28"/>
  <c r="G16" i="26"/>
  <c r="H15" i="26"/>
  <c r="G14" i="27"/>
  <c r="H13" i="27"/>
  <c r="H30" i="14"/>
  <c r="G31" i="14"/>
  <c r="H28" i="17"/>
  <c r="G29" i="17"/>
  <c r="H26" i="19"/>
  <c r="G27" i="19"/>
  <c r="G21" i="22"/>
  <c r="H20" i="22"/>
  <c r="G23" i="21"/>
  <c r="H22" i="21"/>
  <c r="G19" i="23"/>
  <c r="H18" i="23"/>
  <c r="G17" i="25"/>
  <c r="H16" i="25"/>
  <c r="G25" i="20"/>
  <c r="H24" i="20"/>
  <c r="G32" i="8"/>
  <c r="H31" i="8"/>
  <c r="H33" i="6"/>
  <c r="G82" i="40" l="1"/>
  <c r="H81" i="40"/>
  <c r="G92" i="35"/>
  <c r="H91" i="35"/>
  <c r="I77" i="36"/>
  <c r="J76" i="36"/>
  <c r="H11" i="32"/>
  <c r="G14" i="28"/>
  <c r="H13" i="28"/>
  <c r="H14" i="27"/>
  <c r="G15" i="27"/>
  <c r="G17" i="26"/>
  <c r="H16" i="26"/>
  <c r="H27" i="19"/>
  <c r="G28" i="19"/>
  <c r="H29" i="17"/>
  <c r="G30" i="17"/>
  <c r="H31" i="14"/>
  <c r="G32" i="14"/>
  <c r="G26" i="20"/>
  <c r="H25" i="20"/>
  <c r="G18" i="25"/>
  <c r="H17" i="25"/>
  <c r="G20" i="23"/>
  <c r="H19" i="23"/>
  <c r="H23" i="21"/>
  <c r="G24" i="21"/>
  <c r="G22" i="22"/>
  <c r="H21" i="22"/>
  <c r="H32" i="8"/>
  <c r="G33" i="8"/>
  <c r="H34" i="6"/>
  <c r="H35" i="6"/>
  <c r="G83" i="40" l="1"/>
  <c r="H82" i="40"/>
  <c r="G93" i="35"/>
  <c r="H92" i="35"/>
  <c r="I78" i="36"/>
  <c r="J77" i="36"/>
  <c r="H12" i="32"/>
  <c r="G15" i="28"/>
  <c r="H14" i="28"/>
  <c r="G16" i="27"/>
  <c r="H15" i="27"/>
  <c r="G18" i="26"/>
  <c r="H17" i="26"/>
  <c r="H24" i="21"/>
  <c r="G25" i="21"/>
  <c r="H32" i="14"/>
  <c r="G33" i="14"/>
  <c r="H30" i="17"/>
  <c r="G31" i="17"/>
  <c r="H28" i="19"/>
  <c r="G29" i="19"/>
  <c r="H22" i="22"/>
  <c r="G23" i="22"/>
  <c r="G21" i="23"/>
  <c r="H20" i="23"/>
  <c r="G19" i="25"/>
  <c r="H18" i="25"/>
  <c r="G27" i="20"/>
  <c r="H26" i="20"/>
  <c r="G34" i="8"/>
  <c r="H33" i="8"/>
  <c r="H83" i="40" l="1"/>
  <c r="G84" i="40"/>
  <c r="G94" i="35"/>
  <c r="H93" i="35"/>
  <c r="I79" i="36"/>
  <c r="J78" i="36"/>
  <c r="H13" i="32"/>
  <c r="G16" i="28"/>
  <c r="H15" i="28"/>
  <c r="G19" i="26"/>
  <c r="H18" i="26"/>
  <c r="H16" i="27"/>
  <c r="G17" i="27"/>
  <c r="H23" i="22"/>
  <c r="G24" i="22"/>
  <c r="H29" i="19"/>
  <c r="G30" i="19"/>
  <c r="H31" i="17"/>
  <c r="G32" i="17"/>
  <c r="H33" i="14"/>
  <c r="G34" i="14"/>
  <c r="H25" i="21"/>
  <c r="G26" i="21"/>
  <c r="G28" i="20"/>
  <c r="H27" i="20"/>
  <c r="G20" i="25"/>
  <c r="H19" i="25"/>
  <c r="G22" i="23"/>
  <c r="H21" i="23"/>
  <c r="G35" i="8"/>
  <c r="H35" i="8" s="1"/>
  <c r="H34" i="8"/>
  <c r="G85" i="40" l="1"/>
  <c r="H84" i="40"/>
  <c r="G95" i="35"/>
  <c r="H94" i="35"/>
  <c r="I80" i="36"/>
  <c r="J79" i="36"/>
  <c r="I105" i="36"/>
  <c r="H14" i="32"/>
  <c r="G17" i="28"/>
  <c r="H16" i="28"/>
  <c r="H17" i="27"/>
  <c r="G18" i="27"/>
  <c r="G20" i="26"/>
  <c r="H19" i="26"/>
  <c r="H26" i="21"/>
  <c r="G27" i="21"/>
  <c r="H34" i="14"/>
  <c r="G35" i="14"/>
  <c r="H35" i="14" s="1"/>
  <c r="H32" i="17"/>
  <c r="G33" i="17"/>
  <c r="H30" i="19"/>
  <c r="G31" i="19"/>
  <c r="H24" i="22"/>
  <c r="G25" i="22"/>
  <c r="G23" i="23"/>
  <c r="H22" i="23"/>
  <c r="G21" i="25"/>
  <c r="H20" i="25"/>
  <c r="G29" i="20"/>
  <c r="H28" i="20"/>
  <c r="H85" i="40" l="1"/>
  <c r="G86" i="40"/>
  <c r="G96" i="35"/>
  <c r="H95" i="35"/>
  <c r="J105" i="36"/>
  <c r="C12" i="18"/>
  <c r="C17" i="18" s="1"/>
  <c r="I81" i="36"/>
  <c r="J80" i="36"/>
  <c r="H15" i="32"/>
  <c r="G18" i="28"/>
  <c r="H17" i="28"/>
  <c r="G21" i="26"/>
  <c r="H20" i="26"/>
  <c r="H18" i="27"/>
  <c r="G19" i="27"/>
  <c r="H25" i="22"/>
  <c r="G26" i="22"/>
  <c r="H31" i="19"/>
  <c r="G32" i="19"/>
  <c r="H33" i="17"/>
  <c r="G34" i="17"/>
  <c r="H27" i="21"/>
  <c r="G28" i="21"/>
  <c r="G30" i="20"/>
  <c r="H29" i="20"/>
  <c r="G22" i="25"/>
  <c r="H21" i="25"/>
  <c r="H23" i="23"/>
  <c r="G24" i="23"/>
  <c r="G87" i="40" l="1"/>
  <c r="H86" i="40"/>
  <c r="G97" i="35"/>
  <c r="H96" i="35"/>
  <c r="I82" i="36"/>
  <c r="J81" i="36"/>
  <c r="H16" i="32"/>
  <c r="G19" i="28"/>
  <c r="H18" i="28"/>
  <c r="G20" i="27"/>
  <c r="H19" i="27"/>
  <c r="H21" i="26"/>
  <c r="G22" i="26"/>
  <c r="H24" i="23"/>
  <c r="G25" i="23"/>
  <c r="G29" i="21"/>
  <c r="H28" i="21"/>
  <c r="H34" i="17"/>
  <c r="G35" i="17"/>
  <c r="H35" i="17" s="1"/>
  <c r="H32" i="19"/>
  <c r="G33" i="19"/>
  <c r="H26" i="22"/>
  <c r="G27" i="22"/>
  <c r="G23" i="25"/>
  <c r="H22" i="25"/>
  <c r="G31" i="20"/>
  <c r="H30" i="20"/>
  <c r="H87" i="40" l="1"/>
  <c r="G88" i="40"/>
  <c r="G98" i="35"/>
  <c r="H97" i="35"/>
  <c r="I83" i="36"/>
  <c r="J82" i="36"/>
  <c r="H17" i="32"/>
  <c r="G20" i="28"/>
  <c r="H19" i="28"/>
  <c r="G21" i="27"/>
  <c r="H20" i="27"/>
  <c r="H22" i="26"/>
  <c r="G23" i="26"/>
  <c r="H27" i="22"/>
  <c r="G28" i="22"/>
  <c r="H33" i="19"/>
  <c r="G34" i="19"/>
  <c r="H25" i="23"/>
  <c r="G26" i="23"/>
  <c r="G32" i="20"/>
  <c r="H31" i="20"/>
  <c r="G24" i="25"/>
  <c r="H23" i="25"/>
  <c r="G30" i="21"/>
  <c r="H29" i="21"/>
  <c r="G89" i="40" l="1"/>
  <c r="H88" i="40"/>
  <c r="G99" i="35"/>
  <c r="H98" i="35"/>
  <c r="I84" i="36"/>
  <c r="J83" i="36"/>
  <c r="H18" i="32"/>
  <c r="H20" i="28"/>
  <c r="G21" i="28"/>
  <c r="H23" i="26"/>
  <c r="G24" i="26"/>
  <c r="G22" i="27"/>
  <c r="H21" i="27"/>
  <c r="G27" i="23"/>
  <c r="H26" i="23"/>
  <c r="H34" i="19"/>
  <c r="G35" i="19"/>
  <c r="H35" i="19" s="1"/>
  <c r="H28" i="22"/>
  <c r="G29" i="22"/>
  <c r="G31" i="21"/>
  <c r="H30" i="21"/>
  <c r="G25" i="25"/>
  <c r="H24" i="25"/>
  <c r="G33" i="20"/>
  <c r="H32" i="20"/>
  <c r="G90" i="40" l="1"/>
  <c r="H89" i="40"/>
  <c r="G100" i="35"/>
  <c r="H99" i="35"/>
  <c r="I85" i="36"/>
  <c r="J84" i="36"/>
  <c r="H19" i="32"/>
  <c r="G22" i="28"/>
  <c r="H21" i="28"/>
  <c r="G23" i="27"/>
  <c r="H22" i="27"/>
  <c r="H24" i="26"/>
  <c r="G25" i="26"/>
  <c r="H29" i="22"/>
  <c r="G30" i="22"/>
  <c r="G34" i="20"/>
  <c r="H33" i="20"/>
  <c r="G26" i="25"/>
  <c r="H25" i="25"/>
  <c r="H31" i="21"/>
  <c r="G32" i="21"/>
  <c r="G28" i="23"/>
  <c r="H27" i="23"/>
  <c r="G91" i="40" l="1"/>
  <c r="H90" i="40"/>
  <c r="G101" i="35"/>
  <c r="H100" i="35"/>
  <c r="I86" i="36"/>
  <c r="J85" i="36"/>
  <c r="H20" i="32"/>
  <c r="G23" i="28"/>
  <c r="H22" i="28"/>
  <c r="H25" i="26"/>
  <c r="G26" i="26"/>
  <c r="G24" i="27"/>
  <c r="H23" i="27"/>
  <c r="H32" i="21"/>
  <c r="G33" i="21"/>
  <c r="H30" i="22"/>
  <c r="G31" i="22"/>
  <c r="G29" i="23"/>
  <c r="H28" i="23"/>
  <c r="G27" i="25"/>
  <c r="H26" i="25"/>
  <c r="G35" i="20"/>
  <c r="H35" i="20" s="1"/>
  <c r="H34" i="20"/>
  <c r="H91" i="40" l="1"/>
  <c r="G92" i="40"/>
  <c r="G102" i="35"/>
  <c r="H101" i="35"/>
  <c r="I87" i="36"/>
  <c r="J86" i="36"/>
  <c r="H21" i="32"/>
  <c r="G24" i="28"/>
  <c r="H23" i="28"/>
  <c r="G25" i="27"/>
  <c r="H24" i="27"/>
  <c r="H26" i="26"/>
  <c r="G27" i="26"/>
  <c r="H31" i="22"/>
  <c r="G32" i="22"/>
  <c r="H33" i="21"/>
  <c r="G34" i="21"/>
  <c r="G28" i="25"/>
  <c r="H27" i="25"/>
  <c r="G30" i="23"/>
  <c r="H29" i="23"/>
  <c r="G93" i="40" l="1"/>
  <c r="H92" i="40"/>
  <c r="G103" i="35"/>
  <c r="H102" i="35"/>
  <c r="I88" i="36"/>
  <c r="J87" i="36"/>
  <c r="H22" i="32"/>
  <c r="G25" i="28"/>
  <c r="H24" i="28"/>
  <c r="H27" i="26"/>
  <c r="G28" i="26"/>
  <c r="G26" i="27"/>
  <c r="H25" i="27"/>
  <c r="H34" i="21"/>
  <c r="G35" i="21"/>
  <c r="H35" i="21" s="1"/>
  <c r="H32" i="22"/>
  <c r="G33" i="22"/>
  <c r="G31" i="23"/>
  <c r="H30" i="23"/>
  <c r="G29" i="25"/>
  <c r="H28" i="25"/>
  <c r="G94" i="40" l="1"/>
  <c r="H93" i="40"/>
  <c r="G104" i="35"/>
  <c r="H103" i="35"/>
  <c r="I89" i="36"/>
  <c r="J88" i="36"/>
  <c r="H23" i="32"/>
  <c r="G26" i="28"/>
  <c r="H25" i="28"/>
  <c r="G27" i="27"/>
  <c r="H26" i="27"/>
  <c r="H28" i="26"/>
  <c r="G29" i="26"/>
  <c r="H33" i="22"/>
  <c r="G34" i="22"/>
  <c r="G30" i="25"/>
  <c r="H29" i="25"/>
  <c r="G32" i="23"/>
  <c r="H31" i="23"/>
  <c r="G95" i="40" l="1"/>
  <c r="H94" i="40"/>
  <c r="G105" i="35"/>
  <c r="H104" i="35"/>
  <c r="I90" i="36"/>
  <c r="J89" i="36"/>
  <c r="H24" i="32"/>
  <c r="G27" i="28"/>
  <c r="H26" i="28"/>
  <c r="H29" i="26"/>
  <c r="G30" i="26"/>
  <c r="G28" i="27"/>
  <c r="H27" i="27"/>
  <c r="H34" i="22"/>
  <c r="G35" i="22"/>
  <c r="H35" i="22" s="1"/>
  <c r="G33" i="23"/>
  <c r="H32" i="23"/>
  <c r="G31" i="25"/>
  <c r="H30" i="25"/>
  <c r="H95" i="40" l="1"/>
  <c r="G96" i="40"/>
  <c r="G106" i="35"/>
  <c r="H105" i="35"/>
  <c r="I91" i="36"/>
  <c r="J90" i="36"/>
  <c r="H25" i="32"/>
  <c r="G28" i="28"/>
  <c r="H27" i="28"/>
  <c r="G29" i="27"/>
  <c r="H28" i="27"/>
  <c r="H30" i="26"/>
  <c r="G31" i="26"/>
  <c r="G32" i="25"/>
  <c r="H31" i="25"/>
  <c r="G34" i="23"/>
  <c r="H33" i="23"/>
  <c r="G97" i="40" l="1"/>
  <c r="H96" i="40"/>
  <c r="G107" i="35"/>
  <c r="H106" i="35"/>
  <c r="I92" i="36"/>
  <c r="J91" i="36"/>
  <c r="H26" i="32"/>
  <c r="G29" i="28"/>
  <c r="H28" i="28"/>
  <c r="H31" i="26"/>
  <c r="G32" i="26"/>
  <c r="H29" i="27"/>
  <c r="G30" i="27"/>
  <c r="G35" i="23"/>
  <c r="H35" i="23" s="1"/>
  <c r="H34" i="23"/>
  <c r="H32" i="25"/>
  <c r="G33" i="25"/>
  <c r="H97" i="40" l="1"/>
  <c r="G98" i="40"/>
  <c r="G108" i="35"/>
  <c r="H107" i="35"/>
  <c r="I93" i="36"/>
  <c r="J92" i="36"/>
  <c r="H27" i="32"/>
  <c r="G30" i="28"/>
  <c r="H29" i="28"/>
  <c r="H30" i="27"/>
  <c r="G31" i="27"/>
  <c r="H32" i="26"/>
  <c r="G33" i="26"/>
  <c r="G34" i="25"/>
  <c r="H33" i="25"/>
  <c r="G99" i="40" l="1"/>
  <c r="H98" i="40"/>
  <c r="G109" i="35"/>
  <c r="H108" i="35"/>
  <c r="I94" i="36"/>
  <c r="J93" i="36"/>
  <c r="H28" i="32"/>
  <c r="G31" i="28"/>
  <c r="H30" i="28"/>
  <c r="H33" i="26"/>
  <c r="G34" i="26"/>
  <c r="H31" i="27"/>
  <c r="G32" i="27"/>
  <c r="G35" i="25"/>
  <c r="H35" i="25" s="1"/>
  <c r="H34" i="25"/>
  <c r="H99" i="40" l="1"/>
  <c r="G100" i="40"/>
  <c r="G110" i="35"/>
  <c r="H109" i="35"/>
  <c r="I95" i="36"/>
  <c r="J94" i="36"/>
  <c r="H29" i="32"/>
  <c r="G32" i="28"/>
  <c r="H31" i="28"/>
  <c r="H32" i="27"/>
  <c r="G33" i="27"/>
  <c r="H34" i="26"/>
  <c r="G35" i="26"/>
  <c r="H35" i="26" s="1"/>
  <c r="H100" i="40" l="1"/>
  <c r="G101" i="40"/>
  <c r="G111" i="35"/>
  <c r="H110" i="35"/>
  <c r="I96" i="36"/>
  <c r="J95" i="36"/>
  <c r="H30" i="32"/>
  <c r="G33" i="28"/>
  <c r="H32" i="28"/>
  <c r="H33" i="27"/>
  <c r="G34" i="27"/>
  <c r="G102" i="40" l="1"/>
  <c r="H101" i="40"/>
  <c r="G112" i="35"/>
  <c r="H111" i="35"/>
  <c r="I97" i="36"/>
  <c r="J96" i="36"/>
  <c r="H31" i="32"/>
  <c r="G34" i="28"/>
  <c r="H33" i="28"/>
  <c r="H34" i="27"/>
  <c r="G35" i="27"/>
  <c r="H35" i="27" s="1"/>
  <c r="G103" i="40" l="1"/>
  <c r="H102" i="40"/>
  <c r="G113" i="35"/>
  <c r="H112" i="35"/>
  <c r="I98" i="36"/>
  <c r="J97" i="36"/>
  <c r="H32" i="32"/>
  <c r="G35" i="28"/>
  <c r="H35" i="28" s="1"/>
  <c r="H34" i="28"/>
  <c r="G104" i="40" l="1"/>
  <c r="H103" i="40"/>
  <c r="G114" i="35"/>
  <c r="H113" i="35"/>
  <c r="I99" i="36"/>
  <c r="J98" i="36"/>
  <c r="H33" i="32"/>
  <c r="G105" i="40" l="1"/>
  <c r="H104" i="40"/>
  <c r="G115" i="35"/>
  <c r="H114" i="35"/>
  <c r="I100" i="36"/>
  <c r="J99" i="36"/>
  <c r="H35" i="32"/>
  <c r="H34" i="32"/>
  <c r="H105" i="40" l="1"/>
  <c r="G106" i="40"/>
  <c r="G116" i="35"/>
  <c r="H115" i="35"/>
  <c r="I101" i="36"/>
  <c r="J100" i="36"/>
  <c r="G107" i="40" l="1"/>
  <c r="H106" i="40"/>
  <c r="G117" i="35"/>
  <c r="H116" i="35"/>
  <c r="I102" i="36"/>
  <c r="J101" i="36"/>
  <c r="G108" i="40" l="1"/>
  <c r="H107" i="40"/>
  <c r="G118" i="35"/>
  <c r="H117" i="35"/>
  <c r="I103" i="36"/>
  <c r="J102" i="36"/>
  <c r="H108" i="40" l="1"/>
  <c r="G109" i="40"/>
  <c r="G119" i="35"/>
  <c r="H118" i="35"/>
  <c r="I104" i="36"/>
  <c r="J104" i="36" s="1"/>
  <c r="J103" i="36"/>
  <c r="G110" i="40" l="1"/>
  <c r="H109" i="40"/>
  <c r="G120" i="35"/>
  <c r="H119" i="35"/>
  <c r="H110" i="40" l="1"/>
  <c r="G111" i="40"/>
  <c r="G121" i="35"/>
  <c r="H120" i="35"/>
  <c r="H111" i="40" l="1"/>
  <c r="G112" i="40"/>
  <c r="G122" i="35"/>
  <c r="H121" i="35"/>
  <c r="H112" i="40" l="1"/>
  <c r="G113" i="40"/>
  <c r="G123" i="35"/>
  <c r="H122" i="35"/>
  <c r="H113" i="40" l="1"/>
  <c r="G114" i="40"/>
  <c r="G124" i="35"/>
  <c r="H123" i="35"/>
  <c r="G115" i="40" l="1"/>
  <c r="H114" i="40"/>
  <c r="G125" i="35"/>
  <c r="H124" i="35"/>
  <c r="H115" i="40" l="1"/>
  <c r="G116" i="40"/>
  <c r="G126" i="35"/>
  <c r="H125" i="35"/>
  <c r="G117" i="40" l="1"/>
  <c r="H116" i="40"/>
  <c r="G127" i="35"/>
  <c r="H126" i="35"/>
  <c r="H117" i="40" l="1"/>
  <c r="G118" i="40"/>
  <c r="H127" i="35"/>
  <c r="G128" i="35"/>
  <c r="G119" i="40" l="1"/>
  <c r="H118" i="40"/>
  <c r="H128" i="35"/>
  <c r="G129" i="35"/>
  <c r="H119" i="40" l="1"/>
  <c r="G120" i="40"/>
  <c r="G130" i="35"/>
  <c r="H129" i="35"/>
  <c r="G121" i="40" l="1"/>
  <c r="H120" i="40"/>
  <c r="G131" i="35"/>
  <c r="H131" i="35" s="1"/>
  <c r="H130" i="35"/>
  <c r="H121" i="40" l="1"/>
  <c r="G122" i="40"/>
  <c r="G123" i="40" l="1"/>
  <c r="H122" i="40"/>
  <c r="H123" i="40" l="1"/>
  <c r="G124" i="40"/>
  <c r="G125" i="40" l="1"/>
  <c r="H124" i="40"/>
  <c r="H125" i="40" l="1"/>
  <c r="G126" i="40"/>
  <c r="G127" i="40" l="1"/>
  <c r="H126" i="40"/>
  <c r="H127" i="40" l="1"/>
  <c r="G128" i="40"/>
  <c r="G129" i="40" l="1"/>
  <c r="H128" i="40"/>
  <c r="H129" i="40" l="1"/>
  <c r="G130" i="40"/>
  <c r="G131" i="40" l="1"/>
  <c r="H131" i="40" s="1"/>
  <c r="H130" i="40"/>
</calcChain>
</file>

<file path=xl/sharedStrings.xml><?xml version="1.0" encoding="utf-8"?>
<sst xmlns="http://schemas.openxmlformats.org/spreadsheetml/2006/main" count="3387" uniqueCount="1251">
  <si>
    <t>TASNIM COMPUTERS SALES &amp; SERVICE</t>
  </si>
  <si>
    <t>DATE</t>
  </si>
  <si>
    <t>TYPE</t>
  </si>
  <si>
    <t>REF#</t>
  </si>
  <si>
    <t>DESCRIPTION</t>
  </si>
  <si>
    <t>DEBIT</t>
  </si>
  <si>
    <t>CREDIT</t>
  </si>
  <si>
    <t>BALANCE</t>
  </si>
  <si>
    <t>PAYMENT</t>
  </si>
  <si>
    <t>TOTAL BALANCE</t>
  </si>
  <si>
    <t>PURCHASE</t>
  </si>
  <si>
    <t>ONLINE PAYMENT THROUGH BANK</t>
  </si>
  <si>
    <t>AL-AZIZ LAHORE LEDGER</t>
  </si>
  <si>
    <t>FROM THE MONTH OF JULY-2019</t>
  </si>
  <si>
    <t>BILL# 158542</t>
  </si>
  <si>
    <t>BATTERIES 2</t>
  </si>
  <si>
    <t>BILL# 158549</t>
  </si>
  <si>
    <t>14" LED SLIM (30PIN)</t>
  </si>
  <si>
    <t>RECIEPT# 4880801</t>
  </si>
  <si>
    <t>BILL# 159186</t>
  </si>
  <si>
    <t xml:space="preserve">15.6" LED </t>
  </si>
  <si>
    <t>RECIEPT# 5258638</t>
  </si>
  <si>
    <t>BILL# 160459</t>
  </si>
  <si>
    <t>LAPTOP FAN QTY-2</t>
  </si>
  <si>
    <t>BILL# 160460</t>
  </si>
  <si>
    <t>HP 6930P BATTERY QTY-1</t>
  </si>
  <si>
    <t>BILL# 160276</t>
  </si>
  <si>
    <t>BILL# 160696</t>
  </si>
  <si>
    <t>BATTERY HP 8460</t>
  </si>
  <si>
    <t>RECIEPT# 8293214</t>
  </si>
  <si>
    <t>BILL# 160885</t>
  </si>
  <si>
    <t>BATTERY DELL E3340</t>
  </si>
  <si>
    <t>BILL# 161274</t>
  </si>
  <si>
    <t>RETURN</t>
  </si>
  <si>
    <t xml:space="preserve">BETTERY DELL E3340 RETURN </t>
  </si>
  <si>
    <t>BILL# 161675</t>
  </si>
  <si>
    <t>DELL BATTERY E6320</t>
  </si>
  <si>
    <t>BILL# 162141</t>
  </si>
  <si>
    <t>HP KEYBOARD 6560B</t>
  </si>
  <si>
    <t>RECIEPT# 5260855</t>
  </si>
  <si>
    <t>BILL# 165119</t>
  </si>
  <si>
    <t xml:space="preserve">15.6" LED HP PROBOOK </t>
  </si>
  <si>
    <t>RECIEPT# 8295682</t>
  </si>
  <si>
    <t>BILL# 165542</t>
  </si>
  <si>
    <t>DELL 14" LED</t>
  </si>
  <si>
    <t>BILL# 165744</t>
  </si>
  <si>
    <t>HP BATTERY 440</t>
  </si>
  <si>
    <t>BETTERY HP 440 G3/RO04 RETURN</t>
  </si>
  <si>
    <t>BILL# 166101</t>
  </si>
  <si>
    <t>HP BATTERY 430</t>
  </si>
  <si>
    <t>BILL# 166310</t>
  </si>
  <si>
    <t>14" LED DELL</t>
  </si>
  <si>
    <t>RECIEPT# 8295374</t>
  </si>
  <si>
    <t>BILL# 166298</t>
  </si>
  <si>
    <t>BATTERY HP</t>
  </si>
  <si>
    <t>BILL# 166492</t>
  </si>
  <si>
    <t>15.6" LED DELL</t>
  </si>
  <si>
    <t>RECIEPT# 8299915</t>
  </si>
  <si>
    <t>BILL# 168239</t>
  </si>
  <si>
    <t>BATTERY DELL 4050</t>
  </si>
  <si>
    <t>BILL# 168458</t>
  </si>
  <si>
    <t>KEYBOARD D4110</t>
  </si>
  <si>
    <t>RECIEPT# 8297390</t>
  </si>
  <si>
    <t>BILL# 169137</t>
  </si>
  <si>
    <t xml:space="preserve">BATTERY LAPTOP </t>
  </si>
  <si>
    <t>BILL# 169098</t>
  </si>
  <si>
    <t>LED  15.6" SLIM</t>
  </si>
  <si>
    <t>BILL# 169369</t>
  </si>
  <si>
    <t>RECIEPT# 9469433</t>
  </si>
  <si>
    <t>BILL# 170120</t>
  </si>
  <si>
    <t>15.6" LED SLIM</t>
  </si>
  <si>
    <t>BILL# 170341</t>
  </si>
  <si>
    <t>RETURN BILL BAK</t>
  </si>
  <si>
    <t>BATTERY DELL LAPTOP BILL# 170341</t>
  </si>
  <si>
    <t>RECIEPT# 9468612</t>
  </si>
  <si>
    <t>BILL# 171423</t>
  </si>
  <si>
    <t>DELL BATTRIES E6420 QTY-2</t>
  </si>
  <si>
    <t>BILL# 171700</t>
  </si>
  <si>
    <t>BATTERY D3521</t>
  </si>
  <si>
    <t>BALANCE B/F</t>
  </si>
  <si>
    <t>RECIEPT# 5263075</t>
  </si>
  <si>
    <t>BILL# 173646</t>
  </si>
  <si>
    <t>14" LED SLIM</t>
  </si>
  <si>
    <t>RECIEPT# 4882942</t>
  </si>
  <si>
    <t>BILL# 175807</t>
  </si>
  <si>
    <t>BATTERY HP 255 G4</t>
  </si>
  <si>
    <t>BILL# 176865</t>
  </si>
  <si>
    <t>RECIEPT# 3931151</t>
  </si>
  <si>
    <t>BILL# 178146</t>
  </si>
  <si>
    <t>RECIEPT# 8296016</t>
  </si>
  <si>
    <t>BILL# 179194</t>
  </si>
  <si>
    <t xml:space="preserve">BATTERY ACER </t>
  </si>
  <si>
    <t>RECIEPT#8296553</t>
  </si>
  <si>
    <t>BILL# 180438</t>
  </si>
  <si>
    <t>BAT DE E3340</t>
  </si>
  <si>
    <t>BILL#181184</t>
  </si>
  <si>
    <t>HP 8460p LED</t>
  </si>
  <si>
    <t>RECIEPT#8296562</t>
  </si>
  <si>
    <t>BILL#181660</t>
  </si>
  <si>
    <t>DELL BATTRIES E6420 QTY-1</t>
  </si>
  <si>
    <t>RECIEPT#8296564</t>
  </si>
  <si>
    <t>BILL# 182870</t>
  </si>
  <si>
    <t>KEYBOARD HP, LENOVO</t>
  </si>
  <si>
    <t>RECIEPT# 8296569</t>
  </si>
  <si>
    <t>BILL# 183998</t>
  </si>
  <si>
    <t>KB TOS C50-D</t>
  </si>
  <si>
    <t>BILL#8296571</t>
  </si>
  <si>
    <t>BILL# 186379</t>
  </si>
  <si>
    <t>HP BATTERY</t>
  </si>
  <si>
    <t>RECIEPT#7671345</t>
  </si>
  <si>
    <t>BILL# 186577</t>
  </si>
  <si>
    <t xml:space="preserve">15.6" LED &amp; BATTERY HP </t>
  </si>
  <si>
    <t>BILL# 186427</t>
  </si>
  <si>
    <t>BILL# 186549</t>
  </si>
  <si>
    <t>BILL# 186788</t>
  </si>
  <si>
    <t>BILL# 187876</t>
  </si>
  <si>
    <t>BILL# 188592</t>
  </si>
  <si>
    <t>BATTERY AC 5742</t>
  </si>
  <si>
    <t>BILL# 188386</t>
  </si>
  <si>
    <t>14" LED SLIM &amp; CABLE HP 8460</t>
  </si>
  <si>
    <t>BILL# 188808</t>
  </si>
  <si>
    <t>DELL BATTERY 2 &amp; HAIER KB</t>
  </si>
  <si>
    <t>RECIEPT#8296579</t>
  </si>
  <si>
    <t>BILL# 192752</t>
  </si>
  <si>
    <t>BATTERY IBM G50-70</t>
  </si>
  <si>
    <t>BILL# 192821</t>
  </si>
  <si>
    <t>ONLINE PAYMENT THROUGH EASY PAISA</t>
  </si>
  <si>
    <t>BILL# 193206</t>
  </si>
  <si>
    <t>15.6"  LED SLIM</t>
  </si>
  <si>
    <t xml:space="preserve">RETURN </t>
  </si>
  <si>
    <t>RETURN LED BILL# 193206</t>
  </si>
  <si>
    <t>BILL# 194155</t>
  </si>
  <si>
    <t>HP BATTERY ENVY4</t>
  </si>
  <si>
    <t>EASY PAISA</t>
  </si>
  <si>
    <t>BILL# 195161</t>
  </si>
  <si>
    <t>KEYBOARD HP 650 G1</t>
  </si>
  <si>
    <t>BILL# 195178</t>
  </si>
  <si>
    <t>BILL# 196184</t>
  </si>
  <si>
    <t>KB HP 820</t>
  </si>
  <si>
    <t>BILL# 196402</t>
  </si>
  <si>
    <t>KB DELL E5450</t>
  </si>
  <si>
    <t>BILL# 196803</t>
  </si>
  <si>
    <t>BAT G62, BAT 255 G4, BAT DELL 6420</t>
  </si>
  <si>
    <t>BILL# 197378</t>
  </si>
  <si>
    <t>BAT HP 240-G2</t>
  </si>
  <si>
    <t>BILL# 197974</t>
  </si>
  <si>
    <t>BAT HP 8460</t>
  </si>
  <si>
    <t>BILL# 198070</t>
  </si>
  <si>
    <t>14" LED &amp; BAT DE E6400</t>
  </si>
  <si>
    <t>BILL# 198924</t>
  </si>
  <si>
    <t>SCREEN &amp; HP BATTERY</t>
  </si>
  <si>
    <t>ID8477709510</t>
  </si>
  <si>
    <t>BALANCE C/F</t>
  </si>
  <si>
    <t>BILL# 199975</t>
  </si>
  <si>
    <t>FAN HP 8560P</t>
  </si>
  <si>
    <t>PAYMENT MADE THROGH EASY PAISA</t>
  </si>
  <si>
    <t>BILL# 204285</t>
  </si>
  <si>
    <t>BILL# 206442</t>
  </si>
  <si>
    <t>LED 15.6"</t>
  </si>
  <si>
    <t>BILL# 207027</t>
  </si>
  <si>
    <t>KB DELL 5440</t>
  </si>
  <si>
    <t>BILL# 206938</t>
  </si>
  <si>
    <t>HINGIS HP</t>
  </si>
  <si>
    <t>BILL# 207191</t>
  </si>
  <si>
    <t>HIN HP, KB HP, KB DELL</t>
  </si>
  <si>
    <t>BILL# 207469</t>
  </si>
  <si>
    <t>DELL 6440 DPANEL</t>
  </si>
  <si>
    <t>BILL# 360</t>
  </si>
  <si>
    <t>LED, BATTRIES</t>
  </si>
  <si>
    <t>BILL# 209462</t>
  </si>
  <si>
    <t>KEYBOARD DEL E6420</t>
  </si>
  <si>
    <t>PURCHASE RETRN</t>
  </si>
  <si>
    <t>KEYBOARD DELL E6420 BILL#209462</t>
  </si>
  <si>
    <t>BILL# 210047</t>
  </si>
  <si>
    <t xml:space="preserve">KEYBOARD DELL E6420 </t>
  </si>
  <si>
    <t>BILL# 211029</t>
  </si>
  <si>
    <t>BAT HP 440 G2</t>
  </si>
  <si>
    <t>BILL# 212437</t>
  </si>
  <si>
    <t>KBHP, KB AC, BAT AC5742</t>
  </si>
  <si>
    <t>S#</t>
  </si>
  <si>
    <t>NAME</t>
  </si>
  <si>
    <t>AMOUNT</t>
  </si>
  <si>
    <t>TOTAL</t>
  </si>
  <si>
    <t>MUSA &amp; ESSA</t>
  </si>
  <si>
    <t>BILL# 214399</t>
  </si>
  <si>
    <t>BILL# 214621</t>
  </si>
  <si>
    <t>BATTERY DE E6420</t>
  </si>
  <si>
    <t>BILL# 215117</t>
  </si>
  <si>
    <t>KB HP &amp;  DELL</t>
  </si>
  <si>
    <t>BILL# 214967</t>
  </si>
  <si>
    <t>BILL#215570</t>
  </si>
  <si>
    <t>BAT HP</t>
  </si>
  <si>
    <t>ID8594190507</t>
  </si>
  <si>
    <t>ID9288028389</t>
  </si>
  <si>
    <t>BILL#216640</t>
  </si>
  <si>
    <t>15.6" LED SLIM(30 PIN) &amp; BAT HP</t>
  </si>
  <si>
    <t>ID10300378802</t>
  </si>
  <si>
    <t>BILL# 217315</t>
  </si>
  <si>
    <t>BAT HP 840 G1</t>
  </si>
  <si>
    <t>ID10415510064</t>
  </si>
  <si>
    <t>BILL# 218794</t>
  </si>
  <si>
    <t>BAT DELL6420 &amp; BAT HP 640</t>
  </si>
  <si>
    <t>BILL# 219394</t>
  </si>
  <si>
    <t>BAT HP PAVILION, X360</t>
  </si>
  <si>
    <t>RECIPT# 8296587</t>
  </si>
  <si>
    <t>BILL# 220483</t>
  </si>
  <si>
    <t>BAT HP PAVILION, X360 &amp; DELL</t>
  </si>
  <si>
    <t>BAT HP PAVILION X360 BILL# 219394 RET</t>
  </si>
  <si>
    <t>BILL# 221043</t>
  </si>
  <si>
    <t>BAT DE E5540</t>
  </si>
  <si>
    <t>BAT DE E5540 RETURN TO LAHORE</t>
  </si>
  <si>
    <t>BILL# 221840</t>
  </si>
  <si>
    <t>KB TOSHIBA</t>
  </si>
  <si>
    <t>BILL# 222183</t>
  </si>
  <si>
    <t>BILL# 222925</t>
  </si>
  <si>
    <t>BAT DE M4600</t>
  </si>
  <si>
    <t>RECIEPT# 8296589</t>
  </si>
  <si>
    <t>BILL# 223561</t>
  </si>
  <si>
    <t>BAT HP 6930</t>
  </si>
  <si>
    <t>BILL# 224551</t>
  </si>
  <si>
    <t>BAT HP 6930 RETURN TO LAHORE</t>
  </si>
  <si>
    <t>BILL# 224645</t>
  </si>
  <si>
    <t>KB DELL E6400</t>
  </si>
  <si>
    <t>BILL# 226315</t>
  </si>
  <si>
    <t>BATTERY SONY SPS22</t>
  </si>
  <si>
    <t>BILL# 226935</t>
  </si>
  <si>
    <t>BATTERY DELL 7440</t>
  </si>
  <si>
    <t>RECEIPT# 8296590</t>
  </si>
  <si>
    <t>BILL# 228117</t>
  </si>
  <si>
    <t>BATTERY HP 440 G2</t>
  </si>
  <si>
    <t>RECEIPT# 8296591</t>
  </si>
  <si>
    <t>BILL# 228870</t>
  </si>
  <si>
    <t>HP PANEL, DELL PANEL &amp; HINGIS</t>
  </si>
  <si>
    <t>RECEIPT# 4887302</t>
  </si>
  <si>
    <t>BILL# 229574</t>
  </si>
  <si>
    <t>15.6" LED</t>
  </si>
  <si>
    <t>BILL# 229914</t>
  </si>
  <si>
    <t>IBM PANEL, BAT HP, BAT DELL</t>
  </si>
  <si>
    <t>BILL# 229940</t>
  </si>
  <si>
    <t>KB DELL E6420</t>
  </si>
  <si>
    <t>BILL# 230181</t>
  </si>
  <si>
    <t>KB IBM G50-70</t>
  </si>
  <si>
    <t xml:space="preserve">RECEIPT# </t>
  </si>
  <si>
    <t>Bill#230351</t>
  </si>
  <si>
    <t>KB D620</t>
  </si>
  <si>
    <t>Bill#230695</t>
  </si>
  <si>
    <t>Bill#231770</t>
  </si>
  <si>
    <t>HPKB PAVILION 15-BS</t>
  </si>
  <si>
    <t>BILL# 231915</t>
  </si>
  <si>
    <t>FAN DELL E5430</t>
  </si>
  <si>
    <t>BILL# 231641</t>
  </si>
  <si>
    <t>BAT D5010</t>
  </si>
  <si>
    <t>RECEIPT#4887305</t>
  </si>
  <si>
    <t>BILL# 232631</t>
  </si>
  <si>
    <t>BAT HP 640</t>
  </si>
  <si>
    <t>BILL# 232809</t>
  </si>
  <si>
    <t>RECEIPT# 0595147</t>
  </si>
  <si>
    <t>BILL# 234534</t>
  </si>
  <si>
    <t>KB DELL E4310 &amp; HP 8460 HINGIS</t>
  </si>
  <si>
    <t>BILL#234940</t>
  </si>
  <si>
    <t>BAT HP PAVILION 14T</t>
  </si>
  <si>
    <t>BILL#235301</t>
  </si>
  <si>
    <t>DELLL BATERY</t>
  </si>
  <si>
    <t xml:space="preserve">LOAN FROM ABL TASNIM </t>
  </si>
  <si>
    <t>BILL#235449</t>
  </si>
  <si>
    <t>BAT DE E7440</t>
  </si>
  <si>
    <t>BILL#235655</t>
  </si>
  <si>
    <t>KB DE E4310</t>
  </si>
  <si>
    <t>RECEIPT#4887308</t>
  </si>
  <si>
    <t>BILL# 234534 RETURN</t>
  </si>
  <si>
    <t>KD DELL E4310 RETURN TO LHR</t>
  </si>
  <si>
    <t>BILL#235982</t>
  </si>
  <si>
    <t>BAT HP 8460, BAT DE E7440</t>
  </si>
  <si>
    <t>BILL#235449 RETURN</t>
  </si>
  <si>
    <t>DELL 7440 BATTERY FAULTED RETURN</t>
  </si>
  <si>
    <t>BILL# 236816</t>
  </si>
  <si>
    <t>BAT HP 255 G4</t>
  </si>
  <si>
    <t>RECEIPT#4659292</t>
  </si>
  <si>
    <t>BILL# 237768</t>
  </si>
  <si>
    <t>KB HP PAVILION 15</t>
  </si>
  <si>
    <t>BILL#237971</t>
  </si>
  <si>
    <t>BAT HP 15-CX/SR03XL,BAT HP PAVILION 14T</t>
  </si>
  <si>
    <t>RECEIPT#4659291</t>
  </si>
  <si>
    <t>BILL# 237768 RETURN</t>
  </si>
  <si>
    <t>KB HP PAVILION 15 RETURN TO LAHORE</t>
  </si>
  <si>
    <t>BILL# 237971 RETURN</t>
  </si>
  <si>
    <t>BAT HP 15-CX/SR03XL RETURN TO LAHORE</t>
  </si>
  <si>
    <t>BILL# 241324</t>
  </si>
  <si>
    <t>BILL# 241414</t>
  </si>
  <si>
    <t>15.6" SCREEN</t>
  </si>
  <si>
    <t>RECEIPT# 4659287</t>
  </si>
  <si>
    <t>BILL# 243099</t>
  </si>
  <si>
    <t>BAT TOSHIBA, KEYBOARD TOSHIBA</t>
  </si>
  <si>
    <t>RECEIPT#4659285</t>
  </si>
  <si>
    <t>BILL# 244326</t>
  </si>
  <si>
    <t>BAT DELL E6400</t>
  </si>
  <si>
    <t>RECEIPT#4887310</t>
  </si>
  <si>
    <t>BILL# 247735</t>
  </si>
  <si>
    <t>BAT D3521, BAT D5010</t>
  </si>
  <si>
    <t>RECIEPT# 4887313</t>
  </si>
  <si>
    <t>ONLINE TRANSFER THROUGH BANK</t>
  </si>
  <si>
    <t>BILL# 249504</t>
  </si>
  <si>
    <t>BILL# 250934</t>
  </si>
  <si>
    <t xml:space="preserve"> KB HAIER 7G-5H</t>
  </si>
  <si>
    <t>RECIEPT# 4887316</t>
  </si>
  <si>
    <t>20-09-2021</t>
  </si>
  <si>
    <t>BILL#251682</t>
  </si>
  <si>
    <t>BILL#252304</t>
  </si>
  <si>
    <t>KB TOS C55-A</t>
  </si>
  <si>
    <t>BILL#252697</t>
  </si>
  <si>
    <t>14" LED SLIM 30 PIN</t>
  </si>
  <si>
    <t>RECEITP# 4887318</t>
  </si>
  <si>
    <t>BILL#253193</t>
  </si>
  <si>
    <t>KB HP 840 G1</t>
  </si>
  <si>
    <t>BILL#253518</t>
  </si>
  <si>
    <t>KB HP 8440p</t>
  </si>
  <si>
    <t>PAYMENT THROUGH EASY PAISA</t>
  </si>
  <si>
    <t>THROUGH EASYPAISA</t>
  </si>
  <si>
    <t>BILL# 254548</t>
  </si>
  <si>
    <t>BAT DELL E7440</t>
  </si>
  <si>
    <t>BILL# 254705</t>
  </si>
  <si>
    <t xml:space="preserve">BAT IBM IDEAPAD </t>
  </si>
  <si>
    <t>BILL# 255485</t>
  </si>
  <si>
    <t>BILL# 256272</t>
  </si>
  <si>
    <t>15.6" LED SLIM (30 PIN)</t>
  </si>
  <si>
    <t>BILL# 259252</t>
  </si>
  <si>
    <t>KB HAIER 7G-5H</t>
  </si>
  <si>
    <t>KB IBM T440P</t>
  </si>
  <si>
    <t>BILL# 262996</t>
  </si>
  <si>
    <t>BILL# 264317</t>
  </si>
  <si>
    <t>BAT DELL E6420</t>
  </si>
  <si>
    <t>BILL# 264538</t>
  </si>
  <si>
    <t>KB HP</t>
  </si>
  <si>
    <t>BILL# 265085</t>
  </si>
  <si>
    <t>KBHP &amp; BAT DELL D5010</t>
  </si>
  <si>
    <t>BILL# 265258</t>
  </si>
  <si>
    <t>DELL PANNEL &amp; HINGIS</t>
  </si>
  <si>
    <t>BILL# 265615</t>
  </si>
  <si>
    <t>DELL BATTERY</t>
  </si>
  <si>
    <t>BILL# 266104</t>
  </si>
  <si>
    <t xml:space="preserve">LED RETURN </t>
  </si>
  <si>
    <t>BILL# 267543</t>
  </si>
  <si>
    <t>HP KEYBOARD RETURN</t>
  </si>
  <si>
    <t>RETURN BATTERY HP 640</t>
  </si>
  <si>
    <t>BILL# 267943</t>
  </si>
  <si>
    <t>KB DELL E7250</t>
  </si>
  <si>
    <t>BILL#268233</t>
  </si>
  <si>
    <t>BILL#270131</t>
  </si>
  <si>
    <t>14" LED SLIM 30PIN</t>
  </si>
  <si>
    <t>BILL#270132</t>
  </si>
  <si>
    <t>RETURN BILL#270132</t>
  </si>
  <si>
    <t>KB DELL E7250 NOT WORKING RETURN</t>
  </si>
  <si>
    <t>CASH INTO EASYPASY</t>
  </si>
  <si>
    <t>BILL# 273527</t>
  </si>
  <si>
    <t xml:space="preserve">CASH PAID THROUGH EASYPAISA </t>
  </si>
  <si>
    <t>BILL# 275855</t>
  </si>
  <si>
    <t>BAT DELL XPS 13 9360/PW23Y</t>
  </si>
  <si>
    <t>BILL# 276174</t>
  </si>
  <si>
    <t>BILL# 276241</t>
  </si>
  <si>
    <t>BAT HP 2170</t>
  </si>
  <si>
    <t>BILL# 277254</t>
  </si>
  <si>
    <t>BAT D1525</t>
  </si>
  <si>
    <t>BILL#277293</t>
  </si>
  <si>
    <t>BAT HP / DELL /HP</t>
  </si>
  <si>
    <t>KB DELL 7440</t>
  </si>
  <si>
    <t>THROUGH BANK APP</t>
  </si>
  <si>
    <t>CASH PAID THROUGH MOBILE APP BOP</t>
  </si>
  <si>
    <t>BILL#277475</t>
  </si>
  <si>
    <t>BILL# 277668</t>
  </si>
  <si>
    <t>BILL# 277691</t>
  </si>
  <si>
    <t>KB D3521, BATD3521</t>
  </si>
  <si>
    <t>BILL# 278127</t>
  </si>
  <si>
    <t>BAT HP 240-G2, BAT ASUS K53E</t>
  </si>
  <si>
    <t>BILL# 278615</t>
  </si>
  <si>
    <t>SPEAKERS HP 820 G1</t>
  </si>
  <si>
    <t>BILL# 278731</t>
  </si>
  <si>
    <t>KB HP SLEEKBOOK 15</t>
  </si>
  <si>
    <t>BILL# 278884</t>
  </si>
  <si>
    <t>FAN HP DV6-6000</t>
  </si>
  <si>
    <t>HP ELITEBOOK KB 8460P</t>
  </si>
  <si>
    <t>BILL#279205</t>
  </si>
  <si>
    <t>BILL#279599</t>
  </si>
  <si>
    <t xml:space="preserve">KB HP SLEEK </t>
  </si>
  <si>
    <t>BILL# 285470</t>
  </si>
  <si>
    <t>BILL# 285821</t>
  </si>
  <si>
    <t>HP BATTERY 8460</t>
  </si>
  <si>
    <t>BILL# 286518</t>
  </si>
  <si>
    <t>BILL# 286443</t>
  </si>
  <si>
    <t>BILL# 285821 RETURN</t>
  </si>
  <si>
    <t>RETURN TO LAHORE BATTERY FAULTED</t>
  </si>
  <si>
    <t>KB HP PAVILION 15-AC/HP 8460P</t>
  </si>
  <si>
    <t>BILL#286963</t>
  </si>
  <si>
    <t>BILL#286996</t>
  </si>
  <si>
    <t>BILL#287406</t>
  </si>
  <si>
    <t>HP KB 640</t>
  </si>
  <si>
    <t>BILL#289576</t>
  </si>
  <si>
    <t>BAT AC E5-573G</t>
  </si>
  <si>
    <t>BILL#290277</t>
  </si>
  <si>
    <t>KB D3521</t>
  </si>
  <si>
    <t>HINGIGS DE E5530</t>
  </si>
  <si>
    <t>BILL#290787</t>
  </si>
  <si>
    <t>BILL#290309</t>
  </si>
  <si>
    <t>BILL#290735</t>
  </si>
  <si>
    <t>BAT DE E4300</t>
  </si>
  <si>
    <t>BILL#292003</t>
  </si>
  <si>
    <t>KB AC5755/HP 8460P</t>
  </si>
  <si>
    <t>BILL# 292835</t>
  </si>
  <si>
    <t>BILL#294210</t>
  </si>
  <si>
    <t>DELL KB E5520</t>
  </si>
  <si>
    <t>BILL#294897</t>
  </si>
  <si>
    <t>KB HP 6560B</t>
  </si>
  <si>
    <t>BILL#295340</t>
  </si>
  <si>
    <t>KB D15-3542/HP 6560B/HAIER 7G-5H</t>
  </si>
  <si>
    <t xml:space="preserve">                                </t>
  </si>
  <si>
    <t>BILL#296103</t>
  </si>
  <si>
    <t>BILL# 296910</t>
  </si>
  <si>
    <t>BAT HP 745-G3/CS03XL</t>
  </si>
  <si>
    <t>BILL# 298184</t>
  </si>
  <si>
    <t>BAT DE E7480</t>
  </si>
  <si>
    <t>BILL#298552</t>
  </si>
  <si>
    <t xml:space="preserve">BAT E6420/E5420 9 CELL </t>
  </si>
  <si>
    <t>BILL#298650</t>
  </si>
  <si>
    <t>BAT HP G62 9 CELL</t>
  </si>
  <si>
    <t>BILL#299061</t>
  </si>
  <si>
    <t>BILL#299177</t>
  </si>
  <si>
    <t>BILL#299336</t>
  </si>
  <si>
    <t>BAT HP 6930/8440</t>
  </si>
  <si>
    <t>BILL#299737</t>
  </si>
  <si>
    <t>BILL#298989</t>
  </si>
  <si>
    <t>BAT HP FOLIO 1040</t>
  </si>
  <si>
    <t>BILL# 299612</t>
  </si>
  <si>
    <t>ONLINE PAYMENT</t>
  </si>
  <si>
    <t>CASH PAYMENT THROUGH BANK BOP</t>
  </si>
  <si>
    <t>BILL#302374</t>
  </si>
  <si>
    <t>HP KEYBORD  G6</t>
  </si>
  <si>
    <t>BILL#302723</t>
  </si>
  <si>
    <t>HP KB / BAT 4530</t>
  </si>
  <si>
    <t>BILL#303144</t>
  </si>
  <si>
    <t>KB HP 840 G1/ BAT 8460</t>
  </si>
  <si>
    <t>BILL#303556</t>
  </si>
  <si>
    <t>BAT DE E6320</t>
  </si>
  <si>
    <t>HP BAT 640 G1</t>
  </si>
  <si>
    <t>BILL#303767</t>
  </si>
  <si>
    <t>DELL BATT E7240</t>
  </si>
  <si>
    <t>BILL#303960</t>
  </si>
  <si>
    <t>BILL#304203</t>
  </si>
  <si>
    <t>BILL#304659</t>
  </si>
  <si>
    <t>hp 1000 D panel</t>
  </si>
  <si>
    <t>BILL#304942</t>
  </si>
  <si>
    <t>BILL#306214</t>
  </si>
  <si>
    <t>BAT HP 8460 / BAT DE E6320</t>
  </si>
  <si>
    <t>BILL#305532</t>
  </si>
  <si>
    <t>KB HP 840 G1 QTY-2</t>
  </si>
  <si>
    <t>BILL#307174</t>
  </si>
  <si>
    <t>BAT HP ENVY X360 15M/BAT HP 8460</t>
  </si>
  <si>
    <t>BILL#307777</t>
  </si>
  <si>
    <t>KB ACER 5755</t>
  </si>
  <si>
    <t>BILL#309405</t>
  </si>
  <si>
    <t>BILL#313707</t>
  </si>
  <si>
    <t>KB HP PAVILION 15-AC</t>
  </si>
  <si>
    <t>BILL#313760</t>
  </si>
  <si>
    <t>BILL#314376</t>
  </si>
  <si>
    <t>BAT HP EVNY 13-AD009NG/AD03XL</t>
  </si>
  <si>
    <t>BILL#314741</t>
  </si>
  <si>
    <t>BAT HP 15-CC/TF03XL</t>
  </si>
  <si>
    <t>BILL#314804</t>
  </si>
  <si>
    <t>BAT D3521 / D1525</t>
  </si>
  <si>
    <t>BILL#316214</t>
  </si>
  <si>
    <t>Lenovo KB ibm x240</t>
  </si>
  <si>
    <t>BILL#315967</t>
  </si>
  <si>
    <t>KB lenovo T550,KB Haier 7g-5G</t>
  </si>
  <si>
    <t>KB HP 450 G3/455 G3</t>
  </si>
  <si>
    <t>BILL# 317905</t>
  </si>
  <si>
    <t>BAT DELL E5540</t>
  </si>
  <si>
    <t>Bill#318739</t>
  </si>
  <si>
    <t>HP BAT 8460</t>
  </si>
  <si>
    <t>BILL# 320067</t>
  </si>
  <si>
    <t>BAT D15-3551</t>
  </si>
  <si>
    <t>BILL#320276</t>
  </si>
  <si>
    <t>DELL BAT HP 430</t>
  </si>
  <si>
    <t>BILL#320584</t>
  </si>
  <si>
    <t>BAT D5010 KB D4110</t>
  </si>
  <si>
    <t>BILL#320975</t>
  </si>
  <si>
    <t>BAT DELL E7240</t>
  </si>
  <si>
    <t>BILL#320950</t>
  </si>
  <si>
    <t>CASH PAYMENT THROUGH BANK ALHABIB</t>
  </si>
  <si>
    <t>BILL# 321795</t>
  </si>
  <si>
    <t>BILL# 321813</t>
  </si>
  <si>
    <t>KB HP G6</t>
  </si>
  <si>
    <t>DC JACK IBM G-5070</t>
  </si>
  <si>
    <t>BILL# 321959</t>
  </si>
  <si>
    <t>BAT IBM X240</t>
  </si>
  <si>
    <t>BILL#322101</t>
  </si>
  <si>
    <t>CASH PAYMENT THROUGH ABL</t>
  </si>
  <si>
    <t>BILL#322253</t>
  </si>
  <si>
    <t>BILL#323577</t>
  </si>
  <si>
    <t>BAT HP 4530</t>
  </si>
  <si>
    <t>ON LINE PAYMENT THROUGH ABL</t>
  </si>
  <si>
    <t>BILL#13462</t>
  </si>
  <si>
    <t>KEYBOARD 9470</t>
  </si>
  <si>
    <t>BILL#329477</t>
  </si>
  <si>
    <t>BAT HP640 G3</t>
  </si>
  <si>
    <t>ON LINE PAYMENT THROUGH BOP</t>
  </si>
  <si>
    <t>BILL#331548</t>
  </si>
  <si>
    <t>SCREEN 15.6 LED</t>
  </si>
  <si>
    <t>CASH PAYMENT THROUGH BOP</t>
  </si>
  <si>
    <t>BILL# 332356</t>
  </si>
  <si>
    <t>BILL# 334222</t>
  </si>
  <si>
    <t>BILL# 3335405</t>
  </si>
  <si>
    <t>BAT D3521</t>
  </si>
  <si>
    <t>BILL#336869</t>
  </si>
  <si>
    <t xml:space="preserve">KB LENOVO X240 </t>
  </si>
  <si>
    <t>BILL#339250</t>
  </si>
  <si>
    <t>HP BAT 6510</t>
  </si>
  <si>
    <t>BILL#340353</t>
  </si>
  <si>
    <t>BAT/HP BAT/DELL KB</t>
  </si>
  <si>
    <t>BILL# 341114</t>
  </si>
  <si>
    <t>BAT HP 450/LED15.6"/15.6"</t>
  </si>
  <si>
    <t>BILL#344716</t>
  </si>
  <si>
    <t>BATDELL E6420/E5420</t>
  </si>
  <si>
    <t>BILL#345709</t>
  </si>
  <si>
    <t>KB IBM T410</t>
  </si>
  <si>
    <t>BILL#349451</t>
  </si>
  <si>
    <t>BAT HP 640 G1</t>
  </si>
  <si>
    <t>BILL#349750</t>
  </si>
  <si>
    <t>BAT TOS 5185</t>
  </si>
  <si>
    <t>BILL#349669</t>
  </si>
  <si>
    <t>BAT DELL D5010</t>
  </si>
  <si>
    <t>BILL#350914</t>
  </si>
  <si>
    <t>SPK DELL E6530</t>
  </si>
  <si>
    <t>BILL#351579</t>
  </si>
  <si>
    <t>KB D4110</t>
  </si>
  <si>
    <t>BILL#353131</t>
  </si>
  <si>
    <t>BILL#353508</t>
  </si>
  <si>
    <t>KB HP 9470</t>
  </si>
  <si>
    <t>BILL# 354437</t>
  </si>
  <si>
    <t xml:space="preserve">AHMED BAHI </t>
  </si>
  <si>
    <t>BILL#354800</t>
  </si>
  <si>
    <t>BAT HP NC2400</t>
  </si>
  <si>
    <t>BILL# 356907</t>
  </si>
  <si>
    <t>HIN HP 450 G3</t>
  </si>
  <si>
    <t>BILL# 357062</t>
  </si>
  <si>
    <t>BILL# 357185</t>
  </si>
  <si>
    <t>BILL#358484</t>
  </si>
  <si>
    <t>KB D15-3542</t>
  </si>
  <si>
    <t>BILL#358578</t>
  </si>
  <si>
    <t>BAT D15-5568/WDXOR</t>
  </si>
  <si>
    <t>BILL#358707</t>
  </si>
  <si>
    <t>KB HP 4540</t>
  </si>
  <si>
    <t>BILL#359149</t>
  </si>
  <si>
    <t>BILL#359388</t>
  </si>
  <si>
    <t>KB IBM T440p</t>
  </si>
  <si>
    <t>BILL#359956</t>
  </si>
  <si>
    <t>BILL#361556</t>
  </si>
  <si>
    <t>KB AC E5-573</t>
  </si>
  <si>
    <t>Bill#361947</t>
  </si>
  <si>
    <t>KB SAMSUNG R540</t>
  </si>
  <si>
    <t>BILL#361847</t>
  </si>
  <si>
    <t>HIN DE E5440</t>
  </si>
  <si>
    <t>BILL#363149</t>
  </si>
  <si>
    <t>BAT HP 15-DA0033WNHT XL</t>
  </si>
  <si>
    <t xml:space="preserve">BAT IBM LENOVO 310 </t>
  </si>
  <si>
    <t>BILL#364750</t>
  </si>
  <si>
    <t>BILL#365397</t>
  </si>
  <si>
    <t>KB HP 8460P</t>
  </si>
  <si>
    <t>BILL#365174</t>
  </si>
  <si>
    <t>FAN 840 G1/KB HP 840 G3</t>
  </si>
  <si>
    <t>BILL#366340</t>
  </si>
  <si>
    <t>BAT D15-5547</t>
  </si>
  <si>
    <t>BILL#366574</t>
  </si>
  <si>
    <t xml:space="preserve">BAT HP 440 G2 </t>
  </si>
  <si>
    <t>BILL#367056</t>
  </si>
  <si>
    <t>BAT IBM LENOVO D50-70</t>
  </si>
  <si>
    <t>BILL#317098</t>
  </si>
  <si>
    <t>BILL#367651</t>
  </si>
  <si>
    <t>KB HP 840 G3</t>
  </si>
  <si>
    <t>BILL#368210</t>
  </si>
  <si>
    <t>KB HP 450 G1</t>
  </si>
  <si>
    <t>AL AZIZ LHR</t>
  </si>
  <si>
    <t>BILL# 0140</t>
  </si>
  <si>
    <t xml:space="preserve">SYSTEMS /LCD/GRAPHIC CARD </t>
  </si>
  <si>
    <t>FROM THE MONTH OF JANUARY 2024</t>
  </si>
  <si>
    <t>ZAFAR  &amp; SONS RWP</t>
  </si>
  <si>
    <t>ZAFAR &amp; SONS RWP  LEDGER</t>
  </si>
  <si>
    <t xml:space="preserve">ONLINE PAYMENT THROUGH BANK </t>
  </si>
  <si>
    <t xml:space="preserve">CASH </t>
  </si>
  <si>
    <t xml:space="preserve">CASH BY HAND </t>
  </si>
  <si>
    <t>BILL# 0210</t>
  </si>
  <si>
    <t xml:space="preserve">LEDS PURCHASED </t>
  </si>
  <si>
    <t>BILL# 0408</t>
  </si>
  <si>
    <t>BILL# 0407</t>
  </si>
  <si>
    <t xml:space="preserve">GRAPHIC CARD LED </t>
  </si>
  <si>
    <t xml:space="preserve">HDD PURCHED </t>
  </si>
  <si>
    <t>BILL# 0513</t>
  </si>
  <si>
    <t>BILL# 0482</t>
  </si>
  <si>
    <t xml:space="preserve">LED / SYSTEMS </t>
  </si>
  <si>
    <t>BILL# 0484</t>
  </si>
  <si>
    <t>NAEEM BHAI PBM ISB</t>
  </si>
  <si>
    <t>NAEEM BHI PBM ISB LAPTOPS   LEDGER</t>
  </si>
  <si>
    <t>BILL #0345</t>
  </si>
  <si>
    <t>HP  840 G6 8GB/256GB</t>
  </si>
  <si>
    <t>BILL #0346</t>
  </si>
  <si>
    <t>BILL #0347</t>
  </si>
  <si>
    <t>BILL #0348</t>
  </si>
  <si>
    <t>BILL #0349</t>
  </si>
  <si>
    <t>BILL #0350</t>
  </si>
  <si>
    <t>BILL #0351</t>
  </si>
  <si>
    <t>BILL #0352</t>
  </si>
  <si>
    <t>BILL #0353</t>
  </si>
  <si>
    <t>BILL #0354</t>
  </si>
  <si>
    <t>BILL #0355</t>
  </si>
  <si>
    <t>BILL #0356</t>
  </si>
  <si>
    <t>BILL #0357</t>
  </si>
  <si>
    <t>BILL #0358</t>
  </si>
  <si>
    <t>BILL #0359</t>
  </si>
  <si>
    <t>BILL #0360</t>
  </si>
  <si>
    <t>BILL #0361</t>
  </si>
  <si>
    <t>BILL #0362</t>
  </si>
  <si>
    <t>HP  450 G4 8GB/128/500GB</t>
  </si>
  <si>
    <r>
      <t xml:space="preserve">DELL  5580 </t>
    </r>
    <r>
      <rPr>
        <b/>
        <sz val="12"/>
        <color theme="1"/>
        <rFont val="Arial"/>
        <family val="2"/>
      </rPr>
      <t>TOUCH 1080 8GB/256</t>
    </r>
  </si>
  <si>
    <t>HP 840 G5 8GB/256GB</t>
  </si>
  <si>
    <t>LENOVO T470 8GB/180</t>
  </si>
  <si>
    <t xml:space="preserve">DELL  7480 8GB/256GB </t>
  </si>
  <si>
    <t xml:space="preserve">DELL 3570 8GB/256GB </t>
  </si>
  <si>
    <t>TOSHIBA PROTAG Z30 C 8GB/128GB</t>
  </si>
  <si>
    <t>DELL 7450 8GB/256GB</t>
  </si>
  <si>
    <t>TOSHIBA PROTAG Z30 A 4GB128GB</t>
  </si>
  <si>
    <t>DELL  7440 8GB/128</t>
  </si>
  <si>
    <t>DELL  E6430  8GB/50GB</t>
  </si>
  <si>
    <t>HP  8460P 4GB/320GB</t>
  </si>
  <si>
    <t>DELL  E6430  8GB/500GB</t>
  </si>
  <si>
    <t>DELL  6430 4GB/500GB</t>
  </si>
  <si>
    <t>BILL #0363</t>
  </si>
  <si>
    <t>BILL #0364</t>
  </si>
  <si>
    <t xml:space="preserve">PAYMENT </t>
  </si>
  <si>
    <t xml:space="preserve">KARACHI COMPUTERS 6TH ROAD </t>
  </si>
  <si>
    <t xml:space="preserve">LENOVO YOGA 460 360 TOUCH I5 6TH 8GB 256GB </t>
  </si>
  <si>
    <t>BILL#368881</t>
  </si>
  <si>
    <t>HP ZBOOK I7 8TH GEN 16GB 256SSD</t>
  </si>
  <si>
    <t>DELL LATITUDE 7480 I5 6TH 8/256</t>
  </si>
  <si>
    <t>BILL#369430</t>
  </si>
  <si>
    <t>BILL#369933</t>
  </si>
  <si>
    <t>BAT TOS 5024</t>
  </si>
  <si>
    <t xml:space="preserve">HP ZBOOK /DELL 6430 </t>
  </si>
  <si>
    <t>BILL#0345</t>
  </si>
  <si>
    <t>DELL 7480 / LENOVO YOGA 360</t>
  </si>
  <si>
    <t>Bill#0752</t>
  </si>
  <si>
    <t>HDD/ DDR 3</t>
  </si>
  <si>
    <t>BILL#372016</t>
  </si>
  <si>
    <t xml:space="preserve">DELL SCREEN 1080/KB DE E5450 </t>
  </si>
  <si>
    <t xml:space="preserve">HP ELITEBOOK 840 G5 I5 7TH GEN </t>
  </si>
  <si>
    <t xml:space="preserve">DELL 5580 QTY 2 </t>
  </si>
  <si>
    <t xml:space="preserve">HP 4540S BATTERY </t>
  </si>
  <si>
    <t>BILL#372094</t>
  </si>
  <si>
    <t xml:space="preserve">TOSHIBA Z30 I5 4TH GEN </t>
  </si>
  <si>
    <t xml:space="preserve">DELL 5570 I7 6TH HQ 8GB/256GB SSD </t>
  </si>
  <si>
    <t>BILL#373000</t>
  </si>
  <si>
    <t>HP 8460 14"screen</t>
  </si>
  <si>
    <t xml:space="preserve">LENOVO T450  I7 5TH 8GB 256GB  +CHARGER </t>
  </si>
  <si>
    <t>Return</t>
  </si>
  <si>
    <t>BILL#373382</t>
  </si>
  <si>
    <t>DELL KB D4110</t>
  </si>
  <si>
    <t>BILL#373562</t>
  </si>
  <si>
    <t>BAT DE E6420/E5420</t>
  </si>
  <si>
    <t>BILL#374005</t>
  </si>
  <si>
    <t>BILL#374037</t>
  </si>
  <si>
    <t>KB DEL E5450</t>
  </si>
  <si>
    <t>BILL#374237</t>
  </si>
  <si>
    <t>HP 840 G3 I5-6TH 8GB-256 NO CHARGER</t>
  </si>
  <si>
    <t>HP 840 G3 I7-6TH 8GB-256 NO CHARGER</t>
  </si>
  <si>
    <t>PAYABLE HOME</t>
  </si>
  <si>
    <t>BILL# 1045</t>
  </si>
  <si>
    <t>SSD 128GB QTY-5</t>
  </si>
  <si>
    <t>DELL 5420 I5-2ND-4GB-250GB NO CHRG</t>
  </si>
  <si>
    <t xml:space="preserve">TOSIBA Z30 / HP 840 G6 </t>
  </si>
  <si>
    <t>BILL#375173</t>
  </si>
  <si>
    <t>DELL KB E6400</t>
  </si>
  <si>
    <t xml:space="preserve">LENOVO T52S CORE I7 8TH 16GB 512GB CHARGER </t>
  </si>
  <si>
    <t xml:space="preserve">HP ELITBOOK 84 0 G3 I5 6TH GEN 8GB 256GB </t>
  </si>
  <si>
    <t>BILL#375287</t>
  </si>
  <si>
    <t>KB AC 5755/BAT HP 240-G2</t>
  </si>
  <si>
    <t>BILL#375476</t>
  </si>
  <si>
    <t xml:space="preserve">KB HP 840 G1 </t>
  </si>
  <si>
    <t>BILL#375407</t>
  </si>
  <si>
    <t>BILL#375574</t>
  </si>
  <si>
    <t>KB AC 5755</t>
  </si>
  <si>
    <t>HP 450 g4 / 5420</t>
  </si>
  <si>
    <t>BILL#375618</t>
  </si>
  <si>
    <t>HING DELL E5420</t>
  </si>
  <si>
    <t>HP 840 G6 I5-8TH 16GB-256 + CHARGER</t>
  </si>
  <si>
    <t>PAYMENT THROUGH BOP</t>
  </si>
  <si>
    <t>BILL#376386</t>
  </si>
  <si>
    <t>BAT DE E3340/KB DE V3340</t>
  </si>
  <si>
    <t>BILL#376401</t>
  </si>
  <si>
    <t>BAT HP 8530</t>
  </si>
  <si>
    <t>BILL#376733</t>
  </si>
  <si>
    <t>HP SCREEN 14"</t>
  </si>
  <si>
    <t>BILL#376787</t>
  </si>
  <si>
    <t>BAT DELL 7440</t>
  </si>
  <si>
    <t>BILL#376827</t>
  </si>
  <si>
    <t>KB HP 840 G1/HP 840 G1 FAN</t>
  </si>
  <si>
    <t>BILL#3774414</t>
  </si>
  <si>
    <t>Dell 3570/7440/5420</t>
  </si>
  <si>
    <t>BILL#377898</t>
  </si>
  <si>
    <t>ACER CHOROME BOOK</t>
  </si>
  <si>
    <t>HP CHOROME BOOK (FOR TASNIM)</t>
  </si>
  <si>
    <t>DELL 5570 I7-7TH-8-256 2GB CARD  NO CHARGER</t>
  </si>
  <si>
    <t>DELL 7470 I7-6TH-8-256</t>
  </si>
  <si>
    <t>BILL#379044</t>
  </si>
  <si>
    <t xml:space="preserve">KBHP PAVILION 15 </t>
  </si>
  <si>
    <t>DELL 5570(53K) / HP 840 G3 QTY 2(43KX2)</t>
  </si>
  <si>
    <t>DELL 3490 I3-7TH-8GB-128SSD+500HDD + CHRG</t>
  </si>
  <si>
    <t xml:space="preserve">HP ELITBOOK 840 G3 I5 6TH GEN 8GB 128GB </t>
  </si>
  <si>
    <t>HP ELITE X2 I5 7TH GEN 8GB 256GB + CHARG</t>
  </si>
  <si>
    <t xml:space="preserve">HP ELITEBOOK 840 G3 </t>
  </si>
  <si>
    <t xml:space="preserve">HP  BOOK 8440  4GB/320 </t>
  </si>
  <si>
    <t>BILL#379272</t>
  </si>
  <si>
    <t>LENOVO T52S RETURN</t>
  </si>
  <si>
    <t>DELL 3490 RETURN</t>
  </si>
  <si>
    <t>BILL#1395</t>
  </si>
  <si>
    <t>PURCHASING</t>
  </si>
  <si>
    <t>HP 840 G6 / DELL 5570</t>
  </si>
  <si>
    <t>BILL# 381372</t>
  </si>
  <si>
    <t>KB IBM E550</t>
  </si>
  <si>
    <t>BILL# 381162</t>
  </si>
  <si>
    <t>BAT HP 2560</t>
  </si>
  <si>
    <t>LENOVO i5-4TH GEN 8 500 NO CHARGER</t>
  </si>
  <si>
    <t>DELL 5570 I7-6TH-8-256 2GB CARD  NO CHARGER</t>
  </si>
  <si>
    <t>DELL 5570 / LENOVO T470</t>
  </si>
  <si>
    <t>BOP ONLINE PAYMENT</t>
  </si>
  <si>
    <t>HP 840 G6</t>
  </si>
  <si>
    <t>LENONVO T540 RETURN</t>
  </si>
  <si>
    <t>BILL# 1739</t>
  </si>
  <si>
    <t xml:space="preserve">PURCHASING FROM RWP </t>
  </si>
  <si>
    <t>HP820 KB/6470 BATT/HP 8440 KB</t>
  </si>
  <si>
    <t>BILL#383237</t>
  </si>
  <si>
    <t xml:space="preserve">lenovo x1 carbon /chrome book </t>
  </si>
  <si>
    <t>BILL#383607</t>
  </si>
  <si>
    <t>KB 3521/KB 8440/BAT LENOVO G580</t>
  </si>
  <si>
    <t>HP 840 G6 RETURN</t>
  </si>
  <si>
    <t>ONLINE PAYMENT THROUGH BOP</t>
  </si>
  <si>
    <t>HP CHOROME BOOK</t>
  </si>
  <si>
    <t>ONLINE BOP</t>
  </si>
  <si>
    <t>BILL#384525</t>
  </si>
  <si>
    <t>HP 650 G2 SCREEN/DELL BATTERY 3340</t>
  </si>
  <si>
    <t>ADJUSTMENT</t>
  </si>
  <si>
    <t>ADJUSTMENT OF DIFFERENCE IN LEDGER</t>
  </si>
  <si>
    <t>BILL#388123</t>
  </si>
  <si>
    <t>BAT HP PAVILIION 17/KLO4/K104</t>
  </si>
  <si>
    <t xml:space="preserve">OPENING BLANCE </t>
  </si>
  <si>
    <t xml:space="preserve">DELL 19"INCH LED </t>
  </si>
  <si>
    <t xml:space="preserve">LAPTOP  REPAING MOEEN BHAI </t>
  </si>
  <si>
    <t xml:space="preserve">HP BLUE PIN CHAGER </t>
  </si>
  <si>
    <t xml:space="preserve">HP 8440 KEYBOARD </t>
  </si>
  <si>
    <t>TENDA ROUTER N301</t>
  </si>
  <si>
    <t xml:space="preserve">SUMSUNG SSD 128GB </t>
  </si>
  <si>
    <t>DELL CHARGER 130 WATT</t>
  </si>
  <si>
    <t xml:space="preserve">SALE </t>
  </si>
  <si>
    <t>256GB NVME</t>
  </si>
  <si>
    <t>Segate hdd 2tb pc</t>
  </si>
  <si>
    <t>24-09-2024</t>
  </si>
  <si>
    <t>vga cable 300*10</t>
  </si>
  <si>
    <t>128gb ssd qty-2</t>
  </si>
  <si>
    <t>Cash payment to Nasim bahi</t>
  </si>
  <si>
    <t xml:space="preserve">ADJUSTMENT </t>
  </si>
  <si>
    <t>HP Z40 V5</t>
  </si>
  <si>
    <t>BILL#2068</t>
  </si>
  <si>
    <t>i3-4th-x-500gb dell tower cpu 3020</t>
  </si>
  <si>
    <t>Nasim Bahi Nawababad Shop</t>
  </si>
  <si>
    <t>Ledger</t>
  </si>
  <si>
    <t>BILL#391324</t>
  </si>
  <si>
    <t>DELL BAT D3521</t>
  </si>
  <si>
    <t>LAPTOP CHARGER +HDD +PC</t>
  </si>
  <si>
    <t>sff desktop i5-3rd-8-500</t>
  </si>
  <si>
    <t>DELL LATITIDUE 5580 I7-7TH-8-256+CHARGER</t>
  </si>
  <si>
    <t>RAMS &amp; SYSTEMS</t>
  </si>
  <si>
    <t>BILL#391728</t>
  </si>
  <si>
    <t>BAT HP G2</t>
  </si>
  <si>
    <t>ACCESSORIES &amp; LAPTOPS</t>
  </si>
  <si>
    <t>BILL#392286</t>
  </si>
  <si>
    <t>BAT HP 450 G3</t>
  </si>
  <si>
    <t>BILL#392158</t>
  </si>
  <si>
    <t>SALE</t>
  </si>
  <si>
    <t>HDMI SIPLITER 4 PORTS</t>
  </si>
  <si>
    <t xml:space="preserve">HDMI TO VGA </t>
  </si>
  <si>
    <t>Abdul Rafay Accessories Supplier</t>
  </si>
  <si>
    <t>Abdul Rafay</t>
  </si>
  <si>
    <t>Gtx 350 MouseKeyboard Combo</t>
  </si>
  <si>
    <t>Aula Mechanical BrownBox</t>
  </si>
  <si>
    <t>Ocg Mechanical Keyboard</t>
  </si>
  <si>
    <t>Jedel K500+</t>
  </si>
  <si>
    <t>Luminous Membrane Gaming</t>
  </si>
  <si>
    <t>Marvo K607</t>
  </si>
  <si>
    <t>Bnda Km99 Mouse Keyboard Combo</t>
  </si>
  <si>
    <t>Phillips White Keyboard</t>
  </si>
  <si>
    <t>Hp Gk400 Ey Mechanical Keyboard</t>
  </si>
  <si>
    <t>Monster Office Use Mouse Keyboard Combo</t>
  </si>
  <si>
    <t>Zidli Zm K60 Office Use Mouse Keyboard Wireless</t>
  </si>
  <si>
    <t>Brown Box MouseKeyboard Combo Black</t>
  </si>
  <si>
    <t>Genus Brown Box Keyboard Green Light</t>
  </si>
  <si>
    <t>Eksa T8</t>
  </si>
  <si>
    <t>Gamdias Eros M3 Elite</t>
  </si>
  <si>
    <t>Zidli L5 Usb</t>
  </si>
  <si>
    <t>Corsair Hs 60 Pro</t>
  </si>
  <si>
    <t>Onikum K18</t>
  </si>
  <si>
    <t>Audeeo Velocity Wired Gaming Mouse</t>
  </si>
  <si>
    <t>Altec Lancing Algm9002</t>
  </si>
  <si>
    <t>Bebk G13 Plastic Box</t>
  </si>
  <si>
    <t>Oex Gaming White Black</t>
  </si>
  <si>
    <t>Wireless Gaming Mouse</t>
  </si>
  <si>
    <t>Bengo km-1</t>
  </si>
  <si>
    <t>Oex Ms-320</t>
  </si>
  <si>
    <t>Ega Type M-6</t>
  </si>
  <si>
    <t>Mars Gaming MM 218</t>
  </si>
  <si>
    <t>Evoke X39</t>
  </si>
  <si>
    <t>Panteon Ms 70</t>
  </si>
  <si>
    <t>Corsair Sabre Pro Rgb Champion Edition</t>
  </si>
  <si>
    <t>Pioneer Xg 73</t>
  </si>
  <si>
    <t>Rgb Xl 4mm</t>
  </si>
  <si>
    <t>Swipe Full Size Table Matt</t>
  </si>
  <si>
    <t>XXl Fnatic + XXl Bloody</t>
  </si>
  <si>
    <t>Headphone Stands</t>
  </si>
  <si>
    <t>Portable Speaker</t>
  </si>
  <si>
    <t>Aukey Webcam 1080p</t>
  </si>
  <si>
    <t>QTY</t>
  </si>
  <si>
    <t>RATE</t>
  </si>
  <si>
    <t>HP 840 G3 I5-6TH-8-256 + CHARGER</t>
  </si>
  <si>
    <t>BILL#2122</t>
  </si>
  <si>
    <t xml:space="preserve">DDR 2 2GB </t>
  </si>
  <si>
    <t>lcd repairing from rwp</t>
  </si>
  <si>
    <t xml:space="preserve">ACCESSORIES &amp; SSD </t>
  </si>
  <si>
    <t>Cash payment to Nasim bahi 5490</t>
  </si>
  <si>
    <t xml:space="preserve">CASH PAYMENT ACCESSORIES </t>
  </si>
  <si>
    <t>DELL D.T 7010 / L.P P.CABLES</t>
  </si>
  <si>
    <t>CASH PAYMENT</t>
  </si>
  <si>
    <t xml:space="preserve">CASH PAYMENT DELL LATITUDE 3300 </t>
  </si>
  <si>
    <t xml:space="preserve">RAMS &amp; SSD &amp; CHARGER </t>
  </si>
  <si>
    <t>NASIM BAHI</t>
  </si>
  <si>
    <t>HDD, ROUTER, SSD</t>
  </si>
  <si>
    <t>2 MOUSE PAYMENT</t>
  </si>
  <si>
    <t>BILL#394707</t>
  </si>
  <si>
    <t>CORE 2 DUO PC LESS</t>
  </si>
  <si>
    <t xml:space="preserve">CASH PAYMENT </t>
  </si>
  <si>
    <t>DELL CHARGER 189 WATT (BUY FRAHAN )</t>
  </si>
  <si>
    <t>KEYBOARD TKL K-11 SMALL X1</t>
  </si>
  <si>
    <t xml:space="preserve">KEYBOARD OOK-102 FULL GAMING </t>
  </si>
  <si>
    <t>HEADPHONE ZIDLI L-3</t>
  </si>
  <si>
    <t>WEB CAM AUKEY 1080P</t>
  </si>
  <si>
    <t xml:space="preserve">AUKEY WEB CAM 1080P </t>
  </si>
  <si>
    <t>HP ELITEBOOK 840 G3 i5 6th 8th 256</t>
  </si>
  <si>
    <t>DELL 5430 I5 3rd 4/320</t>
  </si>
  <si>
    <t>DELL 5470 I5 +D21:L436TH 8/256</t>
  </si>
  <si>
    <t>LENOVO T410 I5 1ST 4/250GB</t>
  </si>
  <si>
    <t>DELL 3300 4/128</t>
  </si>
  <si>
    <t>BILL#2184</t>
  </si>
  <si>
    <t xml:space="preserve">DELL 7490 I5 8TH 8GB/256SSD </t>
  </si>
  <si>
    <t>HP ELITEBOOK 840 G4 i5 7th 8th 256</t>
  </si>
  <si>
    <t>HP CHARGER CENTERNO</t>
  </si>
  <si>
    <t xml:space="preserve">DELL NEW BAG </t>
  </si>
  <si>
    <t>RETURNE</t>
  </si>
  <si>
    <t>DELL PRECISION M4800</t>
  </si>
  <si>
    <t>SUMSUNG USB 8GB QTY 4</t>
  </si>
  <si>
    <t>BILL# 2234</t>
  </si>
  <si>
    <t>I5-6TH GEN 16GB 128 500GB</t>
  </si>
  <si>
    <t xml:space="preserve">                                                                                                                                                                                                                    </t>
  </si>
  <si>
    <t>HDD CASE ORICO 3.0 3</t>
  </si>
  <si>
    <t xml:space="preserve">LAPTOPS CHARGERS </t>
  </si>
  <si>
    <t>DESKTOP RAMS DDR3 8GB QTY 2</t>
  </si>
  <si>
    <t xml:space="preserve">ACER LAPTOP I5 4TH 8GB/500GB HDD,CHARGER </t>
  </si>
  <si>
    <t>VISITING CARD AND BILL BOOKS PRINTING</t>
  </si>
  <si>
    <t>FARHAN BAHI T.COM</t>
  </si>
  <si>
    <t>KEYBOARD/MOUSE/GAMING</t>
  </si>
  <si>
    <t xml:space="preserve">RETURE </t>
  </si>
  <si>
    <t>BILL#398301</t>
  </si>
  <si>
    <t>KB HP G6 2000</t>
  </si>
  <si>
    <t>DELL 5430/7490</t>
  </si>
  <si>
    <t>DELL 5280 I5 7TH 8/256GB</t>
  </si>
  <si>
    <t xml:space="preserve">HP PROBOOK 440 G5 I5 8TH 8GB/256SSD </t>
  </si>
  <si>
    <t xml:space="preserve">HP PROBOOK 640 G2 I5 6TH 8GB/256SSD </t>
  </si>
  <si>
    <t xml:space="preserve">DELL CHARGER / LENOVO CHARGER </t>
  </si>
  <si>
    <t>BILL#2328</t>
  </si>
  <si>
    <t xml:space="preserve">HP 850 G3 I5 7TH 8GB 256 SSD </t>
  </si>
  <si>
    <t>HP 850 G3/ACER/DELL 7490</t>
  </si>
  <si>
    <t>DELL PRECISION 3540 I5 TH GEN 16/256</t>
  </si>
  <si>
    <t>LENOVO T480 I5 8TH  16/256GB</t>
  </si>
  <si>
    <t>DELL /HP CHARGER</t>
  </si>
  <si>
    <t xml:space="preserve"> DELL 5470/HP 840G3/440G5/850G3</t>
  </si>
  <si>
    <t>Ledger 2025</t>
  </si>
  <si>
    <t>BILL#401241</t>
  </si>
  <si>
    <t>BAT FUJISTU AH530</t>
  </si>
  <si>
    <t xml:space="preserve">DELL 3580 I5 7TH 8GB 256SSD </t>
  </si>
  <si>
    <t>DELL 5470 I5 6TH 8GB 256</t>
  </si>
  <si>
    <t>Ocg Mechanical Keyboard/ GAMING MOUSE G13</t>
  </si>
  <si>
    <t>BILL#402080</t>
  </si>
  <si>
    <t xml:space="preserve">HP 15.6" SCREEN </t>
  </si>
  <si>
    <t>HP 840 G5 I5 7TH /DELL DESKTOP 755</t>
  </si>
  <si>
    <t>DELL 3580/640G2/850 G3</t>
  </si>
  <si>
    <t xml:space="preserve">DELL 7490 BATTERY ADJUST </t>
  </si>
  <si>
    <t>HP PROOBOOK 640 G1 I5 4TH 8/128/500</t>
  </si>
  <si>
    <t>BILL#402563</t>
  </si>
  <si>
    <t xml:space="preserve">BAT HP 4530 / LENOVO YOGA / PWR </t>
  </si>
  <si>
    <t xml:space="preserve"> </t>
  </si>
  <si>
    <t>BILL#403117</t>
  </si>
  <si>
    <t xml:space="preserve">HP 15.6" SCREEN 30pin fhd </t>
  </si>
  <si>
    <t xml:space="preserve">LENOVO 410/HP 840 G3 /840 G5 </t>
  </si>
  <si>
    <t>BILL#403223</t>
  </si>
  <si>
    <t xml:space="preserve">BAT 5560 </t>
  </si>
  <si>
    <t>BILL#402682</t>
  </si>
  <si>
    <t>HP BAT 4530</t>
  </si>
  <si>
    <t>RETURE</t>
  </si>
  <si>
    <t>HP BAT 4530 QTY 2</t>
  </si>
  <si>
    <t>BILL#2454</t>
  </si>
  <si>
    <t xml:space="preserve">DELL XPS I3 5TH 4GB 128GB </t>
  </si>
  <si>
    <t xml:space="preserve">DELL 7480 I5 7TH GEN 16GB/256SSD </t>
  </si>
  <si>
    <t xml:space="preserve">DELL XPS 15 9560 I7 7TH GEN 8GB 256SSD </t>
  </si>
  <si>
    <t>HP PROBOOK 450 G2 I5 5TH 8GB.500GB</t>
  </si>
  <si>
    <t xml:space="preserve">LENOVO 360 I5 6TH 8GB 256SSD </t>
  </si>
  <si>
    <t xml:space="preserve">LENOVO T440 I5 4TH 4GB 500GB </t>
  </si>
  <si>
    <t xml:space="preserve">DELL 5500 I5 8TH 8GB 256SSD </t>
  </si>
  <si>
    <t xml:space="preserve">HP PROBOOK 430 G3 8GB/256SSD </t>
  </si>
  <si>
    <t>HP NOOTBOOK 250 G6 I5 7TH 8GB/500</t>
  </si>
  <si>
    <t>HP RAZON 8/256/DELL 5470</t>
  </si>
  <si>
    <t xml:space="preserve">Zidli L5 Usb 2500 each </t>
  </si>
  <si>
    <t>DAHWA CAT 6 / TENDA 8 PORT 2</t>
  </si>
  <si>
    <t xml:space="preserve">HP G3/G1/LENVO TOUCH I5 6TH </t>
  </si>
  <si>
    <t>WAQAS FTC</t>
  </si>
  <si>
    <t>BILL#2588</t>
  </si>
  <si>
    <t>BILL#2509</t>
  </si>
  <si>
    <t xml:space="preserve">HP 640 G2 /DELL 5480 /HP 640 G1 </t>
  </si>
  <si>
    <t>BILL#408894</t>
  </si>
  <si>
    <t>FAN HP 9470</t>
  </si>
  <si>
    <t xml:space="preserve">256gb SSD </t>
  </si>
  <si>
    <t>BILL#409226</t>
  </si>
  <si>
    <t>BILL#409230</t>
  </si>
  <si>
    <t>DELL BAT 7440</t>
  </si>
  <si>
    <t xml:space="preserve">HP 14"LED </t>
  </si>
  <si>
    <t>BILL#409423</t>
  </si>
  <si>
    <t>DELL DC JACK</t>
  </si>
  <si>
    <t>BILL#2609</t>
  </si>
  <si>
    <t>BILL#2633</t>
  </si>
  <si>
    <t>POWER CABLES</t>
  </si>
  <si>
    <t xml:space="preserve">USB LAN CARD /SRERO TO PINS </t>
  </si>
  <si>
    <t xml:space="preserve">DELL LATITUDE 7480 I7 7TH GEN 8GB 256SSD + CHARGER </t>
  </si>
  <si>
    <t>BILL#2661</t>
  </si>
  <si>
    <t>mouse pad booldy</t>
  </si>
  <si>
    <t>BILL#412722</t>
  </si>
  <si>
    <t>BAT D15-3551 KB D15 3542</t>
  </si>
  <si>
    <t xml:space="preserve">DELL XPS 15 9560  GTX1050 4GB </t>
  </si>
  <si>
    <t xml:space="preserve">DELL LATITUDE 7490 I5 8TH GEN 8GB 256SSD + CHARGER </t>
  </si>
  <si>
    <t>BILL#412897</t>
  </si>
  <si>
    <t>DELL BAT E5250</t>
  </si>
  <si>
    <t>CASH PAYMENT  DELL 19 INCH</t>
  </si>
  <si>
    <t>BILL#2671</t>
  </si>
  <si>
    <t>HP ELITEBOOK 840 G3 i5 6th 8GB 256</t>
  </si>
  <si>
    <t>HP ELITEBOOK 840 G3 i5 6th 16 256</t>
  </si>
  <si>
    <t>HP ELITEBOOK 840G1 I5 4TH GEN 8/500GB</t>
  </si>
  <si>
    <t>HP PROBOOK 650 G1 I5 4TH GEN 8/250HDD</t>
  </si>
  <si>
    <t>LENOVO YOGA 15 I5 7TH 8/500</t>
  </si>
  <si>
    <t>HP NOTEBOOK I37TH GEN 8/240SSD</t>
  </si>
  <si>
    <t>HP PROBOOK 450 G5 I5 8TH 8/128SSD</t>
  </si>
  <si>
    <t xml:space="preserve">HP PROBOOK 650 G3 I5 7TH 8/240 </t>
  </si>
  <si>
    <t>DELL 5490 I5 8TH 16GB 256</t>
  </si>
  <si>
    <t xml:space="preserve">HP ELITEBOOK 840 G2 I5 5TH 8GB 500GB </t>
  </si>
  <si>
    <t xml:space="preserve">HP PROBOOK 450 G2 I5 5TH 8GB 320 </t>
  </si>
  <si>
    <t xml:space="preserve">DELL 6540 I7 4TH 8GB 500GB </t>
  </si>
  <si>
    <t xml:space="preserve">TOSHIBA I3 4TH 8GB 500GB </t>
  </si>
  <si>
    <t xml:space="preserve">INTEL D15S I5 6TH 8GB 128GB/500GB </t>
  </si>
  <si>
    <t xml:space="preserve">DELL 7450 I5 7TH GEN 8GB/128GB SSD </t>
  </si>
  <si>
    <t xml:space="preserve">TOSHIBA  CHARGER </t>
  </si>
  <si>
    <t xml:space="preserve">DELL NEW PIN </t>
  </si>
  <si>
    <t>LENOVO USB 850*5</t>
  </si>
  <si>
    <t>DELL 130W 1100*6</t>
  </si>
  <si>
    <t>HP BLUE PIN 1250*6</t>
  </si>
  <si>
    <t>HP CENTROIN 900*6</t>
  </si>
  <si>
    <t>BILL#414398</t>
  </si>
  <si>
    <t>HP KB 8440/BAT D15-3551</t>
  </si>
  <si>
    <t>LENOVO E450 I3 5TH GEN 8GB 500GB</t>
  </si>
  <si>
    <t xml:space="preserve">DELL LATITUDE 5410 I5 10TH 8GB 256SSD </t>
  </si>
  <si>
    <t xml:space="preserve">DELL XPS I7 7TH GEN 16GB 512SSD TOUCH </t>
  </si>
  <si>
    <t>BILL#414799</t>
  </si>
  <si>
    <t xml:space="preserve">BAT HP PAVILION 14T </t>
  </si>
  <si>
    <t>BILL#415409</t>
  </si>
  <si>
    <t xml:space="preserve">Hanging </t>
  </si>
  <si>
    <t>BILL#415413</t>
  </si>
  <si>
    <t xml:space="preserve">BAT 440 G2 </t>
  </si>
  <si>
    <t xml:space="preserve">SSD 128/256/Power cable /DELL NEW PIN CHARGER </t>
  </si>
  <si>
    <t xml:space="preserve">DELL LATITUDE 3540 I5 4TH 8GB 120SSD </t>
  </si>
  <si>
    <t xml:space="preserve">banda km 99 mouse keyboad combo </t>
  </si>
  <si>
    <t xml:space="preserve">zidi zm k60 keyboard mouse </t>
  </si>
  <si>
    <t xml:space="preserve">k-11 tki keyboard </t>
  </si>
  <si>
    <t xml:space="preserve">headphone stands </t>
  </si>
  <si>
    <t>Bill#2737</t>
  </si>
  <si>
    <t xml:space="preserve">DELL 17 INCH </t>
  </si>
  <si>
    <t xml:space="preserve">HP ELITEBOOK 840 G2 </t>
  </si>
  <si>
    <t>BILL#415676</t>
  </si>
  <si>
    <t xml:space="preserve">14" LED SLIM FHD </t>
  </si>
  <si>
    <t xml:space="preserve">ACER P658 I7 6TH 8GB 256GB SSD </t>
  </si>
  <si>
    <t xml:space="preserve">DELL 3570 I3 6TH GEN 8GB 500GB </t>
  </si>
  <si>
    <t xml:space="preserve">DELL 5570 I3 6TH GEN 8GB 500GB </t>
  </si>
  <si>
    <t>BILL#416022</t>
  </si>
  <si>
    <t xml:space="preserve">14" LED slim 30 pin </t>
  </si>
  <si>
    <t>Bill#2701</t>
  </si>
  <si>
    <t>BILL#2765</t>
  </si>
  <si>
    <t>BILL2767</t>
  </si>
  <si>
    <t>BILL#416857</t>
  </si>
  <si>
    <t xml:space="preserve">HP battery </t>
  </si>
  <si>
    <t>BILL#417293</t>
  </si>
  <si>
    <t>KB TOS C850</t>
  </si>
  <si>
    <t>BILL#418758</t>
  </si>
  <si>
    <t>HP FAN ENVY 15-U</t>
  </si>
  <si>
    <t>BILL#418910</t>
  </si>
  <si>
    <t>14"inch fhd</t>
  </si>
  <si>
    <t>BILL#419547</t>
  </si>
  <si>
    <t>SPK IBM T470s</t>
  </si>
  <si>
    <t xml:space="preserve">HP 440 G5 I5 7TH GEN 8GB 256GB </t>
  </si>
  <si>
    <t xml:space="preserve">HP ELITEBOOK 840 G3 I5 6TH 8GB 256GB </t>
  </si>
  <si>
    <t xml:space="preserve">DELL LATITUDE I5 8TH GEN 8GB 256GB SSD </t>
  </si>
  <si>
    <t>BILL#419993</t>
  </si>
  <si>
    <t>BILL#419932</t>
  </si>
  <si>
    <t xml:space="preserve">HP KB 440 G5 </t>
  </si>
  <si>
    <t>DC JACK 450G3/HP 15-BS /HP FAN 840 G1</t>
  </si>
  <si>
    <t>BILL#420237</t>
  </si>
  <si>
    <t xml:space="preserve">HP KB 4540 /BAT HP 6930 </t>
  </si>
  <si>
    <t>BILL#420329</t>
  </si>
  <si>
    <t>DELL DC JACK D5567</t>
  </si>
  <si>
    <t>BILL#420331</t>
  </si>
  <si>
    <t>KB HP 440 G5 B/L</t>
  </si>
  <si>
    <t>BILL#421016</t>
  </si>
  <si>
    <t>DELL SPK 7490</t>
  </si>
  <si>
    <t>BILL#421125</t>
  </si>
  <si>
    <t xml:space="preserve">DELL BAT E5450 </t>
  </si>
  <si>
    <t xml:space="preserve">HP KB 440 G5  RETURNE </t>
  </si>
  <si>
    <t>BILL#421392</t>
  </si>
  <si>
    <t xml:space="preserve">DELL LATITUDE 3500 Return </t>
  </si>
  <si>
    <t>DELL LATITUDE 5280 I5 7TH 8/256 W/C</t>
  </si>
  <si>
    <t>DELL LATITUDE 5480 I5 7TH 8/256 W/C</t>
  </si>
  <si>
    <t>DELL LATITUDE 3480 I3 7TH 8/256 W/C</t>
  </si>
  <si>
    <t>DELL LATITUDE 5490 I5 8TH 8/256 W/C</t>
  </si>
  <si>
    <t>DELL LATITUDE 5470 I5 6TH 8/256  W/C</t>
  </si>
  <si>
    <t xml:space="preserve">CASH PAYMENT SEND PBM ACCOUNT ISB </t>
  </si>
  <si>
    <t>BILL#422555</t>
  </si>
  <si>
    <t xml:space="preserve">14" screen /IBM G50 </t>
  </si>
  <si>
    <t>Bill#422631</t>
  </si>
  <si>
    <t>HP KB PAVILION 15</t>
  </si>
  <si>
    <t>BILL#422832</t>
  </si>
  <si>
    <t xml:space="preserve">hp 15"6  LED </t>
  </si>
  <si>
    <t>BILL#423576</t>
  </si>
  <si>
    <t>14" LED SLIM 30PIN FHD</t>
  </si>
  <si>
    <t>BILL#424606</t>
  </si>
  <si>
    <t>BILL#423813</t>
  </si>
  <si>
    <t>DELL HANGING</t>
  </si>
  <si>
    <t>BILL#424994</t>
  </si>
  <si>
    <t>BILL#425100</t>
  </si>
  <si>
    <t xml:space="preserve">KB LENOVO X240 / T430 </t>
  </si>
  <si>
    <t>BILL#425258</t>
  </si>
  <si>
    <t>BILL#425265</t>
  </si>
  <si>
    <t>BILL#425301</t>
  </si>
  <si>
    <t xml:space="preserve">hp 840 g3 cable </t>
  </si>
  <si>
    <t>BAT AC E5-571</t>
  </si>
  <si>
    <t>KB IBM T470s</t>
  </si>
  <si>
    <t>BILL#425337</t>
  </si>
  <si>
    <t>BILL#425546</t>
  </si>
  <si>
    <t>BILL#425622</t>
  </si>
  <si>
    <t>DELL HANGING E5470</t>
  </si>
  <si>
    <t>BILL#426011</t>
  </si>
  <si>
    <t>BAT E7440/KB DELL 7440 KB</t>
  </si>
  <si>
    <t xml:space="preserve">                                                                                                                                                                               </t>
  </si>
  <si>
    <t>BILL#426271</t>
  </si>
  <si>
    <t>BILL#2919</t>
  </si>
  <si>
    <t>BILL#3002</t>
  </si>
  <si>
    <t>BILL#3003</t>
  </si>
  <si>
    <t xml:space="preserve">RETURNE </t>
  </si>
  <si>
    <t xml:space="preserve">I7 3RD K /8GB DDR 4 </t>
  </si>
  <si>
    <t>BILL#428170</t>
  </si>
  <si>
    <t xml:space="preserve">15.6" LED SLIM 30 pin </t>
  </si>
  <si>
    <t>SPK HP 840 G1</t>
  </si>
  <si>
    <t>BILL#427122</t>
  </si>
  <si>
    <t>BILL#3022</t>
  </si>
  <si>
    <t xml:space="preserve">LED </t>
  </si>
  <si>
    <t>BILL428602</t>
  </si>
  <si>
    <t>KB HP 850 G3</t>
  </si>
  <si>
    <t>BILL#428707</t>
  </si>
  <si>
    <t>BAT HP 430 / KB HP 430</t>
  </si>
  <si>
    <t>BILL#428771</t>
  </si>
  <si>
    <t>HDD /RAM</t>
  </si>
  <si>
    <t>BILL#428981</t>
  </si>
  <si>
    <t>BILL#429058</t>
  </si>
  <si>
    <t>15.6" LED / KB AC 5742</t>
  </si>
  <si>
    <t>BILL#429712</t>
  </si>
  <si>
    <t>DELL BAT D15-3521</t>
  </si>
  <si>
    <t>BILL#429997</t>
  </si>
  <si>
    <t>14" led / KB HP G6</t>
  </si>
  <si>
    <t xml:space="preserve">DELL BAT DE E7480 </t>
  </si>
  <si>
    <t>BILL#430356</t>
  </si>
  <si>
    <t>BILL#430709</t>
  </si>
  <si>
    <t>14" LED SLIM 30 PIN / KB IBM G505S</t>
  </si>
  <si>
    <t>BILL#430768</t>
  </si>
  <si>
    <t>BILL BACK</t>
  </si>
  <si>
    <t>BILL#431000</t>
  </si>
  <si>
    <t>BAT DE E6400</t>
  </si>
  <si>
    <t>BILL#431048</t>
  </si>
  <si>
    <t xml:space="preserve">KB HP 840 G3 </t>
  </si>
  <si>
    <t xml:space="preserve">HP 840 G1 SPEAKER </t>
  </si>
  <si>
    <t>BILL#431183</t>
  </si>
  <si>
    <t>PC PURCHASE</t>
  </si>
  <si>
    <t>BILL#3023</t>
  </si>
  <si>
    <t>BILL#3037</t>
  </si>
  <si>
    <t xml:space="preserve">HP 840 G2 I5 5TH 8GB 500GB </t>
  </si>
  <si>
    <t xml:space="preserve">DELL 6440 174TH 8GB 500GB </t>
  </si>
  <si>
    <t>BILL#431882</t>
  </si>
  <si>
    <t>BILL#432760</t>
  </si>
  <si>
    <t>KB HP CQ61 /BAT HP DV4</t>
  </si>
  <si>
    <t>BILL#433479</t>
  </si>
  <si>
    <t>BILL#433434</t>
  </si>
  <si>
    <t xml:space="preserve">DELL 5050 BOX </t>
  </si>
  <si>
    <t>BILL#435770</t>
  </si>
  <si>
    <t>BAT IBM G460</t>
  </si>
  <si>
    <t xml:space="preserve">PROCESOR I5 3RD/DDR 3 4GB </t>
  </si>
  <si>
    <t>BILL3203</t>
  </si>
  <si>
    <t xml:space="preserve">LED PURCHASE </t>
  </si>
  <si>
    <t>BILL#437024</t>
  </si>
  <si>
    <t>BAT HP 440 G3/R004</t>
  </si>
  <si>
    <t>BILL#438179</t>
  </si>
  <si>
    <t>BAT TOS 5212</t>
  </si>
  <si>
    <t>BILL#438383</t>
  </si>
  <si>
    <t>BILL#438919</t>
  </si>
  <si>
    <t>BAT TOS 5185/KB HP 9470</t>
  </si>
  <si>
    <t>BILL#439031</t>
  </si>
  <si>
    <t>BAT DEE5540</t>
  </si>
  <si>
    <t>NAEEM BHAI PBM ISB LAPTOPS</t>
  </si>
  <si>
    <t>FROM THE MONTH OF APRIL 2026</t>
  </si>
  <si>
    <t>PURCHASE LAPTOPS QTY 09</t>
  </si>
  <si>
    <t xml:space="preserve">CASH BY HAND AT HOME </t>
  </si>
  <si>
    <t xml:space="preserve">LAPTOPS </t>
  </si>
  <si>
    <t xml:space="preserve">LAPTOP/SSD </t>
  </si>
  <si>
    <t xml:space="preserve">laptop/ssd </t>
  </si>
  <si>
    <t xml:space="preserve">LAPTOP </t>
  </si>
  <si>
    <t xml:space="preserve">HP 840 I5 10TH GEN 8/256 </t>
  </si>
  <si>
    <t>DELL 7470 I5 6TH 8/256</t>
  </si>
  <si>
    <t xml:space="preserve">CHARGER </t>
  </si>
  <si>
    <t xml:space="preserve">LAPTOP CHARGER </t>
  </si>
  <si>
    <t>LENOVO T490S I5 8TH 8/256</t>
  </si>
  <si>
    <t xml:space="preserve">ONLINE MEEZAN BANK NAEEM SIR </t>
  </si>
  <si>
    <t>15.6" LED slim FHD</t>
  </si>
  <si>
    <t>BILL#441095</t>
  </si>
  <si>
    <t>BILL#441534</t>
  </si>
  <si>
    <t>BAT 745-G3</t>
  </si>
  <si>
    <t>PAYABLES-2026</t>
  </si>
  <si>
    <t>LENOVO L380 I5 8TH 8GB 256</t>
  </si>
  <si>
    <t xml:space="preserve">LENOVO T460 I5 6TH 8GB 256GB </t>
  </si>
  <si>
    <t>PRINTER CABLE 3M</t>
  </si>
  <si>
    <t>PRINTER CABLE 1.5  QTY 270*5</t>
  </si>
  <si>
    <t>HP 840 I5 8TH 16/512</t>
  </si>
  <si>
    <t xml:space="preserve">LENOVO TYPE-C CHARGER </t>
  </si>
  <si>
    <t>HP 840 I7 8TH 16/512</t>
  </si>
  <si>
    <t>RAM</t>
  </si>
  <si>
    <t xml:space="preserve">LAPTOP RAM DDR 4 8GB </t>
  </si>
  <si>
    <t>LAPTOP</t>
  </si>
  <si>
    <t>DELL 5491H I5 8TH 8GB 256</t>
  </si>
  <si>
    <t>DELL 5501 I5 9TH 8GB 256</t>
  </si>
  <si>
    <t>BILL#442270</t>
  </si>
  <si>
    <t>BILL#442386</t>
  </si>
  <si>
    <t xml:space="preserve">KB HP 430 </t>
  </si>
  <si>
    <t>BILL#4452743</t>
  </si>
  <si>
    <t>BILL#442836</t>
  </si>
  <si>
    <t>KB IBM T440P/KB XPS  13-9343</t>
  </si>
  <si>
    <t>BILL#3296</t>
  </si>
  <si>
    <t xml:space="preserve">DELL 5400 I5 8TH 8GB 256GB </t>
  </si>
  <si>
    <t xml:space="preserve">LENOVO T480 I5 8TH 8GB 256GB </t>
  </si>
  <si>
    <t>DELL LATITUDE 7440 I5 6TH 8GB 256GB</t>
  </si>
  <si>
    <t xml:space="preserve">HP 840 G5 I5 8TH 8GB 256GB </t>
  </si>
  <si>
    <t xml:space="preserve">LENOVO L490 I7 8TH 8GB 256GB </t>
  </si>
  <si>
    <t xml:space="preserve">L.P RAM DDR 3 4GB </t>
  </si>
  <si>
    <t>LENOVO CHARGER TYPE C QTY 2</t>
  </si>
  <si>
    <t xml:space="preserve">LP CHARGER </t>
  </si>
  <si>
    <t>BILL#442941</t>
  </si>
  <si>
    <t>KB DE XPS 13-9343</t>
  </si>
  <si>
    <t>KB IBM IBM T440P</t>
  </si>
  <si>
    <t>BILL#443183</t>
  </si>
  <si>
    <t>KB D14-5447/KB HP 640</t>
  </si>
  <si>
    <t>BILL#443407</t>
  </si>
  <si>
    <t xml:space="preserve">BAT HP 640 </t>
  </si>
  <si>
    <t>LENOVO YOGA G5 I7 10TH 16/512</t>
  </si>
  <si>
    <t xml:space="preserve">DELL LATITUDE 7470 I5 6TH 8/256GB </t>
  </si>
  <si>
    <t xml:space="preserve">LENOVO T470S I7 6TH 8GB /256GB </t>
  </si>
  <si>
    <t xml:space="preserve">SSD PURCHASE </t>
  </si>
  <si>
    <t>ABDUL SATTAR BHAI UK</t>
  </si>
  <si>
    <t xml:space="preserve">BAT HP 840 G3 </t>
  </si>
  <si>
    <t>BILL#445452</t>
  </si>
  <si>
    <t>BILL#445819</t>
  </si>
  <si>
    <t xml:space="preserve">HP KB 8460P </t>
  </si>
  <si>
    <t>BILL#3304</t>
  </si>
  <si>
    <t xml:space="preserve">7470-L490-T480 </t>
  </si>
  <si>
    <t>HP 840 G7 I5 10TH GEN 16GB/256GB</t>
  </si>
  <si>
    <t xml:space="preserve">LENOVO T490S I5 8TH 8GB/256GB </t>
  </si>
  <si>
    <t>BILL#447752</t>
  </si>
  <si>
    <t>BILL#447908</t>
  </si>
  <si>
    <t xml:space="preserve">lenovo 14inch/bat 7440 </t>
  </si>
  <si>
    <t xml:space="preserve">24ich adjustment / dell mouse </t>
  </si>
  <si>
    <t xml:space="preserve">LAPTOPS RETURE </t>
  </si>
  <si>
    <t xml:space="preserve">LENOVO T470S I5 6TH 8GB /256GB </t>
  </si>
  <si>
    <t xml:space="preserve">LENOVO T460S I5 7TH 8GB / 256GB </t>
  </si>
  <si>
    <t xml:space="preserve">LENOVO L490 I78TH 8GB / 258GB </t>
  </si>
  <si>
    <t>LENOVO YOGA L389 I5 8TH 8GB 256GB</t>
  </si>
  <si>
    <t xml:space="preserve">HP PROBOOK 440 I5 7TH 8GB 256GB </t>
  </si>
  <si>
    <t>BILL#448882</t>
  </si>
  <si>
    <t xml:space="preserve">15.6" slime 30 pin </t>
  </si>
  <si>
    <t>BILL#3451</t>
  </si>
  <si>
    <t xml:space="preserve">DELL LED </t>
  </si>
  <si>
    <t>BILL#449766</t>
  </si>
  <si>
    <t xml:space="preserve">lenovo speaker t470s </t>
  </si>
  <si>
    <t>BILL#450241</t>
  </si>
  <si>
    <t>BATTERY  E7240</t>
  </si>
  <si>
    <t>BILL#3468</t>
  </si>
  <si>
    <t xml:space="preserve">graphic cards </t>
  </si>
  <si>
    <t>BILL#450849</t>
  </si>
  <si>
    <t xml:space="preserve">DELL PRECISION 3530 ORG 6 CELL </t>
  </si>
  <si>
    <t>BILL#451053</t>
  </si>
  <si>
    <t>DELL KB B/L E5450</t>
  </si>
  <si>
    <t>BILL#3502</t>
  </si>
  <si>
    <t>BILL#451561</t>
  </si>
  <si>
    <t>HP BATERY PAVILION 15</t>
  </si>
  <si>
    <t>BILL#451715</t>
  </si>
  <si>
    <t xml:space="preserve">HP KB /DC JACK </t>
  </si>
  <si>
    <t>BILL#452086</t>
  </si>
  <si>
    <t>BILL#452249</t>
  </si>
  <si>
    <t>HP BATTERY 820 G1</t>
  </si>
  <si>
    <t>KB IBM T440P /KB AC 5742</t>
  </si>
  <si>
    <t xml:space="preserve">APPLE CHARGER 60W MS2 </t>
  </si>
  <si>
    <t>BILL#451730</t>
  </si>
  <si>
    <t>BILL#3515</t>
  </si>
  <si>
    <t>LED /PC</t>
  </si>
  <si>
    <t>BILL#452647</t>
  </si>
  <si>
    <t>DELL BATTERY D5010</t>
  </si>
  <si>
    <t>BILL#452964</t>
  </si>
  <si>
    <t xml:space="preserve">HP KB 840 G3 BACKLIGHT </t>
  </si>
  <si>
    <t>BILL#452988</t>
  </si>
  <si>
    <t>BAT AC 5742</t>
  </si>
  <si>
    <t>BILL#453135</t>
  </si>
  <si>
    <t>BAT D15 /FAN E5440</t>
  </si>
  <si>
    <t>BILL#453279</t>
  </si>
  <si>
    <t>BAT TOS 3634 / KB DV6 100</t>
  </si>
  <si>
    <t>BILL#3539</t>
  </si>
  <si>
    <t>SSD</t>
  </si>
  <si>
    <t xml:space="preserve">128GB 256GB  BREAKABLE </t>
  </si>
  <si>
    <t>HP ELITEBOOK G8 I5 11TH 16GB/256</t>
  </si>
  <si>
    <t xml:space="preserve">HP ELITEBOOK G9 I5 12TH 16GB/256GB </t>
  </si>
  <si>
    <t>BILL#45941</t>
  </si>
  <si>
    <t xml:space="preserve">HP LAPTOP BODY HP SPKR KB TOS Z40 </t>
  </si>
  <si>
    <t>BILL#454086</t>
  </si>
  <si>
    <t xml:space="preserve">KB HP 440 G3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</si>
</sst>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yy;@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4"/>
      <color theme="1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24"/>
      <color theme="1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u/>
      <sz val="22"/>
      <color theme="10"/>
      <name val="Calibri"/>
      <family val="2"/>
      <scheme val="minor"/>
    </font>
    <font>
      <b/>
      <u/>
      <sz val="20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9C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7" fillId="7" borderId="0" applyNumberFormat="0" applyBorder="0" applyAlignment="0" applyProtection="0"/>
  </cellStyleXfs>
  <cellXfs count="107">
    <xf numFmtId="0" fontId="0" fillId="0" borderId="0" xfId="0"/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2" borderId="1" xfId="1" applyNumberFormat="1" applyFont="1" applyFill="1" applyBorder="1"/>
    <xf numFmtId="0" fontId="1" fillId="2" borderId="1" xfId="0" applyFont="1" applyFill="1" applyBorder="1"/>
    <xf numFmtId="164" fontId="1" fillId="2" borderId="1" xfId="1" applyNumberFormat="1" applyFont="1" applyFill="1" applyBorder="1"/>
    <xf numFmtId="165" fontId="1" fillId="2" borderId="1" xfId="0" applyNumberFormat="1" applyFont="1" applyFill="1" applyBorder="1" applyAlignment="1">
      <alignment horizontal="left"/>
    </xf>
    <xf numFmtId="165" fontId="0" fillId="0" borderId="1" xfId="0" applyNumberFormat="1" applyBorder="1" applyAlignment="1">
      <alignment horizontal="left"/>
    </xf>
    <xf numFmtId="165" fontId="0" fillId="2" borderId="1" xfId="0" applyNumberFormat="1" applyFill="1" applyBorder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1" applyNumberFormat="1" applyFont="1" applyFill="1" applyBorder="1"/>
    <xf numFmtId="165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164" fontId="1" fillId="0" borderId="1" xfId="1" applyNumberFormat="1" applyFont="1" applyFill="1" applyBorder="1"/>
    <xf numFmtId="0" fontId="6" fillId="0" borderId="1" xfId="0" applyFont="1" applyBorder="1"/>
    <xf numFmtId="0" fontId="6" fillId="0" borderId="0" xfId="0" applyFont="1"/>
    <xf numFmtId="165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164" fontId="0" fillId="4" borderId="1" xfId="1" applyNumberFormat="1" applyFont="1" applyFill="1" applyBorder="1"/>
    <xf numFmtId="0" fontId="0" fillId="4" borderId="1" xfId="0" applyFill="1" applyBorder="1" applyAlignment="1">
      <alignment horizontal="left"/>
    </xf>
    <xf numFmtId="164" fontId="6" fillId="0" borderId="0" xfId="1" applyNumberFormat="1" applyFont="1" applyFill="1"/>
    <xf numFmtId="164" fontId="0" fillId="0" borderId="0" xfId="1" applyNumberFormat="1" applyFont="1" applyFill="1"/>
    <xf numFmtId="164" fontId="7" fillId="0" borderId="1" xfId="1" applyNumberFormat="1" applyFont="1" applyFill="1" applyBorder="1"/>
    <xf numFmtId="0" fontId="0" fillId="0" borderId="1" xfId="0" applyBorder="1" applyAlignment="1">
      <alignment horizontal="center"/>
    </xf>
    <xf numFmtId="164" fontId="6" fillId="4" borderId="1" xfId="1" applyNumberFormat="1" applyFont="1" applyFill="1" applyBorder="1"/>
    <xf numFmtId="0" fontId="0" fillId="0" borderId="2" xfId="0" applyBorder="1"/>
    <xf numFmtId="164" fontId="6" fillId="4" borderId="1" xfId="1" quotePrefix="1" applyNumberFormat="1" applyFont="1" applyFill="1" applyBorder="1"/>
    <xf numFmtId="0" fontId="5" fillId="5" borderId="1" xfId="0" applyFont="1" applyFill="1" applyBorder="1" applyAlignment="1">
      <alignment horizontal="center"/>
    </xf>
    <xf numFmtId="164" fontId="5" fillId="5" borderId="1" xfId="1" applyNumberFormat="1" applyFont="1" applyFill="1" applyBorder="1" applyAlignment="1">
      <alignment horizontal="center"/>
    </xf>
    <xf numFmtId="164" fontId="6" fillId="0" borderId="1" xfId="1" applyNumberFormat="1" applyFont="1" applyFill="1" applyBorder="1"/>
    <xf numFmtId="0" fontId="0" fillId="4" borderId="2" xfId="0" applyFill="1" applyBorder="1"/>
    <xf numFmtId="0" fontId="0" fillId="0" borderId="1" xfId="0" applyBorder="1" applyAlignment="1">
      <alignment horizontal="center" vertical="center"/>
    </xf>
    <xf numFmtId="164" fontId="11" fillId="2" borderId="1" xfId="1" applyNumberFormat="1" applyFont="1" applyFill="1" applyBorder="1"/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12" fillId="4" borderId="1" xfId="0" applyFont="1" applyFill="1" applyBorder="1" applyAlignment="1">
      <alignment horizontal="left" vertical="top"/>
    </xf>
    <xf numFmtId="0" fontId="0" fillId="6" borderId="1" xfId="0" applyFill="1" applyBorder="1"/>
    <xf numFmtId="0" fontId="0" fillId="3" borderId="1" xfId="0" applyFill="1" applyBorder="1"/>
    <xf numFmtId="0" fontId="0" fillId="6" borderId="0" xfId="0" applyFill="1"/>
    <xf numFmtId="0" fontId="9" fillId="0" borderId="0" xfId="2"/>
    <xf numFmtId="0" fontId="6" fillId="0" borderId="1" xfId="0" applyFont="1" applyBorder="1" applyAlignment="1">
      <alignment horizontal="left" vertical="top"/>
    </xf>
    <xf numFmtId="0" fontId="10" fillId="0" borderId="1" xfId="2" applyFont="1" applyBorder="1" applyAlignment="1">
      <alignment horizontal="left" vertical="top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1" applyNumberFormat="1" applyFon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164" fontId="0" fillId="6" borderId="1" xfId="1" applyNumberFormat="1" applyFont="1" applyFill="1" applyBorder="1"/>
    <xf numFmtId="0" fontId="12" fillId="4" borderId="1" xfId="0" applyFont="1" applyFill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5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/>
    <xf numFmtId="164" fontId="4" fillId="0" borderId="1" xfId="1" applyNumberFormat="1" applyFont="1" applyFill="1" applyBorder="1"/>
    <xf numFmtId="164" fontId="15" fillId="0" borderId="1" xfId="1" applyNumberFormat="1" applyFont="1" applyFill="1" applyBorder="1"/>
    <xf numFmtId="0" fontId="15" fillId="0" borderId="1" xfId="0" applyFont="1" applyFill="1" applyBorder="1"/>
    <xf numFmtId="0" fontId="15" fillId="0" borderId="0" xfId="0" applyFont="1" applyFill="1"/>
    <xf numFmtId="165" fontId="15" fillId="0" borderId="1" xfId="0" applyNumberFormat="1" applyFont="1" applyFill="1" applyBorder="1" applyAlignment="1">
      <alignment horizontal="left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/>
    </xf>
    <xf numFmtId="165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0" fontId="18" fillId="0" borderId="1" xfId="3" applyFont="1" applyFill="1" applyBorder="1"/>
    <xf numFmtId="0" fontId="16" fillId="0" borderId="0" xfId="2" applyFont="1" applyFill="1"/>
    <xf numFmtId="0" fontId="15" fillId="8" borderId="1" xfId="0" applyFont="1" applyFill="1" applyBorder="1"/>
    <xf numFmtId="164" fontId="19" fillId="8" borderId="1" xfId="1" applyNumberFormat="1" applyFont="1" applyFill="1" applyBorder="1"/>
    <xf numFmtId="164" fontId="15" fillId="0" borderId="0" xfId="1" applyNumberFormat="1" applyFont="1" applyFill="1"/>
    <xf numFmtId="0" fontId="12" fillId="0" borderId="1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/>
    </xf>
    <xf numFmtId="0" fontId="12" fillId="0" borderId="3" xfId="0" applyFont="1" applyFill="1" applyBorder="1" applyAlignment="1">
      <alignment horizontal="left" vertical="top"/>
    </xf>
    <xf numFmtId="0" fontId="15" fillId="0" borderId="1" xfId="0" applyFont="1" applyFill="1" applyBorder="1" applyAlignment="1">
      <alignment horizontal="left" vertical="top"/>
    </xf>
    <xf numFmtId="165" fontId="20" fillId="0" borderId="1" xfId="0" applyNumberFormat="1" applyFont="1" applyFill="1" applyBorder="1" applyAlignment="1">
      <alignment horizontal="left"/>
    </xf>
    <xf numFmtId="0" fontId="20" fillId="0" borderId="1" xfId="0" applyFont="1" applyFill="1" applyBorder="1"/>
    <xf numFmtId="164" fontId="20" fillId="0" borderId="1" xfId="1" applyNumberFormat="1" applyFont="1" applyFill="1" applyBorder="1"/>
    <xf numFmtId="0" fontId="21" fillId="0" borderId="0" xfId="2" applyFont="1" applyFill="1"/>
    <xf numFmtId="164" fontId="22" fillId="0" borderId="1" xfId="1" applyNumberFormat="1" applyFont="1" applyFill="1" applyBorder="1"/>
    <xf numFmtId="0" fontId="23" fillId="0" borderId="1" xfId="0" applyFont="1" applyFill="1" applyBorder="1"/>
    <xf numFmtId="164" fontId="24" fillId="0" borderId="1" xfId="1" applyNumberFormat="1" applyFont="1" applyFill="1" applyBorder="1"/>
    <xf numFmtId="164" fontId="23" fillId="0" borderId="1" xfId="1" applyNumberFormat="1" applyFont="1" applyFill="1" applyBorder="1"/>
    <xf numFmtId="0" fontId="0" fillId="0" borderId="1" xfId="0" applyFill="1" applyBorder="1"/>
    <xf numFmtId="0" fontId="12" fillId="0" borderId="0" xfId="0" applyFont="1"/>
    <xf numFmtId="0" fontId="26" fillId="0" borderId="0" xfId="2" applyFont="1" applyFill="1"/>
    <xf numFmtId="164" fontId="27" fillId="0" borderId="1" xfId="1" applyNumberFormat="1" applyFont="1" applyFill="1" applyBorder="1"/>
    <xf numFmtId="0" fontId="28" fillId="0" borderId="0" xfId="2" applyFont="1" applyFill="1"/>
    <xf numFmtId="164" fontId="1" fillId="2" borderId="1" xfId="1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29" fillId="0" borderId="0" xfId="2" applyFont="1" applyFill="1"/>
    <xf numFmtId="164" fontId="1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0" fillId="10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2" borderId="1" xfId="1" applyNumberFormat="1" applyFont="1" applyFill="1" applyBorder="1" applyAlignment="1">
      <alignment horizontal="center"/>
    </xf>
    <xf numFmtId="164" fontId="1" fillId="2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1" xfId="1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25" fillId="0" borderId="0" xfId="0" applyFont="1" applyFill="1" applyAlignment="1">
      <alignment horizontal="center"/>
    </xf>
    <xf numFmtId="164" fontId="4" fillId="0" borderId="1" xfId="1" applyNumberFormat="1" applyFont="1" applyFill="1" applyBorder="1" applyAlignment="1">
      <alignment horizontal="center"/>
    </xf>
    <xf numFmtId="164" fontId="4" fillId="0" borderId="1" xfId="1" applyNumberFormat="1" applyFont="1" applyFill="1" applyBorder="1" applyAlignment="1">
      <alignment horizontal="center" vertical="center"/>
    </xf>
  </cellXfs>
  <cellStyles count="4">
    <cellStyle name="Comma" xfId="1" builtinId="3"/>
    <cellStyle name="Hyperlink" xfId="2" builtinId="8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zoomScale="77" zoomScaleNormal="77"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8.5703125" customWidth="1"/>
    <col min="2" max="2" width="66.42578125" bestFit="1" customWidth="1"/>
    <col min="3" max="3" width="26" style="24" bestFit="1" customWidth="1"/>
    <col min="4" max="4" width="11.85546875" style="1" bestFit="1" customWidth="1"/>
  </cols>
  <sheetData>
    <row r="1" spans="1:8" ht="36" x14ac:dyDescent="0.55000000000000004">
      <c r="A1" s="93" t="s">
        <v>1066</v>
      </c>
      <c r="B1" s="93"/>
      <c r="C1" s="93"/>
    </row>
    <row r="2" spans="1:8" ht="36" x14ac:dyDescent="0.55000000000000004">
      <c r="A2" s="94" t="s">
        <v>1147</v>
      </c>
      <c r="B2" s="94"/>
      <c r="C2" s="94"/>
    </row>
    <row r="3" spans="1:8" ht="31.5" x14ac:dyDescent="0.5">
      <c r="A3" s="30" t="s">
        <v>179</v>
      </c>
      <c r="B3" s="30" t="s">
        <v>180</v>
      </c>
      <c r="C3" s="31" t="s">
        <v>181</v>
      </c>
    </row>
    <row r="4" spans="1:8" ht="31.5" x14ac:dyDescent="0.5">
      <c r="A4" s="17">
        <v>1</v>
      </c>
      <c r="B4" s="85" t="s">
        <v>578</v>
      </c>
      <c r="C4" s="29">
        <f>'AL AZIZ-LHR-19'!G36</f>
        <v>64350</v>
      </c>
      <c r="D4" s="24"/>
    </row>
    <row r="5" spans="1:8" ht="31.5" x14ac:dyDescent="0.5">
      <c r="A5" s="17">
        <v>2</v>
      </c>
      <c r="B5" s="44" t="s">
        <v>925</v>
      </c>
      <c r="C5" s="29">
        <f>39400+28700-18100-20000+27200+14100-26300-20000+4950+7750+32500-50000+60800-20000+5500-20000-26500+42600-22600+44350+17100-25000+16900-33350-20000+20750+18000+9250-28000-20000</f>
        <v>40000</v>
      </c>
    </row>
    <row r="6" spans="1:8" ht="31.5" x14ac:dyDescent="0.5">
      <c r="A6" s="17">
        <v>4</v>
      </c>
      <c r="B6" s="43" t="s">
        <v>635</v>
      </c>
      <c r="C6" s="29">
        <f>179795+15500+27380-50000-52600-20000-25000-52500+79545-75+58770-50000+29140-60000+386115-100000-36000-30000+49420-100000+1400+27570-50000-38460-40000+66265+20500-42000-40000+271800-250000+46945+123690-100000-47200-30000+81480+10000-96000-45480+247990-120000+36565-35550+12610-50000+46010-60000-57625-40000+293055+4300-100000-47000+69715-50000-30000-50000-40000-50000+5400+79420-30000+10300+72955-100000+70620-100000-42900-10000+53560+30350</f>
        <v>139775</v>
      </c>
      <c r="D6" s="1" t="s">
        <v>901</v>
      </c>
    </row>
    <row r="7" spans="1:8" ht="31.5" x14ac:dyDescent="0.5">
      <c r="A7" s="17">
        <v>5</v>
      </c>
      <c r="B7" s="87" t="s">
        <v>582</v>
      </c>
      <c r="C7" s="29">
        <f>' ZAFAR &amp; SONS RWP 5 '!G36</f>
        <v>361700</v>
      </c>
    </row>
    <row r="8" spans="1:8" ht="31.5" x14ac:dyDescent="0.5">
      <c r="A8" s="17">
        <v>6</v>
      </c>
      <c r="B8" s="44" t="s">
        <v>870</v>
      </c>
      <c r="C8" s="29">
        <f>30350+3000+100+100-15000+25000+40000+3380-33000+250000+100000+50000+53500-60000+2000+4500-7000-1000-5930-5000-2000-3000-5000-2000-3000-10000-2000-3000-5000-5000-5000-5000-5000-5000-5000-5000+80920-5000-3000-2920-5000-5000-3500+2000-3500-5000-5000-5000-10000-10000-2000-3000-5000-5000+3150+21950+96000+29700-2000-3800-5000-6500-3500-5000-5000-5000-5000-5000-5000-10000-10000-5000+120000+20000-13500-6500-5000-4000-6000-5000-4200-2000+5000+31250-2000-5000+25000-12000-10000+72000-101000-50000+35000-129000-50000+100000-100000-50000-107000+40000+60500+13000-100000+20000+22000+50000+4000+45000-103000+26500+9000+81000-46000+20000+30000+25000+50000+25000-150000+40000+100000+10000+100000-100000+10000+42900+13500-11000-360000+100000-13000-15000+114500+22000-9000+121000+13500-100000-20000-5000+22000+42900+25000+28000+26800-120000+6000-10000+154000+25000+6500-90000+50000+13750+86000+7000+45000+9200+12500-100000+11400+1500+25500+13000+20000+10000+125000+30000+40340+18500+4500</f>
        <v>906840</v>
      </c>
      <c r="H8" t="s">
        <v>901</v>
      </c>
    </row>
    <row r="9" spans="1:8" ht="31.5" x14ac:dyDescent="0.5">
      <c r="A9" s="17">
        <v>7</v>
      </c>
      <c r="B9" s="87" t="s">
        <v>1129</v>
      </c>
      <c r="C9" s="29">
        <f>'NAEEM BHI PBM ISB LAPTOPS 2'!G36</f>
        <v>355750</v>
      </c>
    </row>
    <row r="10" spans="1:8" ht="31.5" x14ac:dyDescent="0.5">
      <c r="A10" s="17">
        <v>8</v>
      </c>
      <c r="B10" s="85" t="s">
        <v>837</v>
      </c>
      <c r="C10" s="29">
        <f>+'NASNIM BHI-2'!G132</f>
        <v>590090</v>
      </c>
    </row>
    <row r="11" spans="1:8" ht="31.5" x14ac:dyDescent="0.5">
      <c r="A11" s="17">
        <v>9</v>
      </c>
      <c r="B11" s="90" t="s">
        <v>597</v>
      </c>
      <c r="C11" s="29">
        <f>'NAEEM BHI PBM-3 '!G36</f>
        <v>111500</v>
      </c>
    </row>
    <row r="12" spans="1:8" ht="31.5" x14ac:dyDescent="0.5">
      <c r="A12" s="17">
        <v>10</v>
      </c>
      <c r="B12" s="44" t="s">
        <v>785</v>
      </c>
      <c r="C12" s="29">
        <f>'Abdul Rafay'!I105</f>
        <v>57825</v>
      </c>
    </row>
    <row r="13" spans="1:8" ht="31.5" x14ac:dyDescent="0.5">
      <c r="A13" s="17">
        <v>11</v>
      </c>
      <c r="B13" s="44" t="s">
        <v>1186</v>
      </c>
      <c r="C13" s="29">
        <f>100000-80000</f>
        <v>20000</v>
      </c>
    </row>
    <row r="14" spans="1:8" ht="31.5" x14ac:dyDescent="0.5">
      <c r="A14" s="17">
        <v>12</v>
      </c>
      <c r="B14" s="43" t="s">
        <v>536</v>
      </c>
      <c r="C14" s="27">
        <f>94510-5000-10000-3000-500-3000-1000-3000-5200-5000-8800-2000-5000-5000-3000-5000-5000-3000-5500</f>
        <v>16510</v>
      </c>
    </row>
    <row r="15" spans="1:8" ht="31.5" x14ac:dyDescent="0.5">
      <c r="A15" s="17">
        <v>13</v>
      </c>
      <c r="B15" s="43" t="s">
        <v>263</v>
      </c>
      <c r="C15" s="32">
        <f>324500+10000+15000+13500-15000+15000+34000-7500+120000+15000-15000-15000-12500-15000-15000-15000-12500+38000+15000-40000-21000-12500-15000-15000-7000-10000-12500-18300-7500-12759-29000-6500-5000-1000-2000-900</f>
        <v>261541</v>
      </c>
    </row>
    <row r="16" spans="1:8" ht="31.5" x14ac:dyDescent="0.5">
      <c r="A16" s="17">
        <v>14</v>
      </c>
      <c r="B16" s="43" t="s">
        <v>183</v>
      </c>
      <c r="C16" s="32">
        <f>40000+120000+144000</f>
        <v>304000</v>
      </c>
    </row>
    <row r="17" spans="1:3" ht="33.75" x14ac:dyDescent="0.5">
      <c r="A17" s="92" t="s">
        <v>182</v>
      </c>
      <c r="B17" s="92"/>
      <c r="C17" s="25">
        <f>SUM(C4:C16)</f>
        <v>3229881</v>
      </c>
    </row>
    <row r="18" spans="1:3" ht="31.5" x14ac:dyDescent="0.5">
      <c r="A18" s="18"/>
      <c r="B18" s="18"/>
      <c r="C18" s="23"/>
    </row>
  </sheetData>
  <autoFilter ref="A3:C3" xr:uid="{00000000-0001-0000-0000-000000000000}"/>
  <mergeCells count="3">
    <mergeCell ref="A17:B17"/>
    <mergeCell ref="A1:C1"/>
    <mergeCell ref="A2:C2"/>
  </mergeCells>
  <hyperlinks>
    <hyperlink ref="B12" location="'Abdul Rafay'!A1" display="Abdul Rafay Accessories Supplier" xr:uid="{880391E2-27CD-4C69-A4BC-555400FE4CFB}"/>
    <hyperlink ref="B10" location="'NASNIM BHI-2'!Print_Area" display="NASIM BAHI" xr:uid="{45521EE8-8454-4378-BF72-D45CBE6A1694}"/>
    <hyperlink ref="B4" location="'AL AZIZ-LHR-18'!A1" display="AL AZIZ LHR" xr:uid="{4AD588D2-B3B1-45E9-BF12-87FE99BBF529}"/>
    <hyperlink ref="B11" location="'NAEEM BHI PBM-3 '!A1" display="NAEEM BHAI PBM ISB" xr:uid="{387A8B8E-1B61-42E3-BF42-A652DBF5D638}"/>
    <hyperlink ref="B9" location="'NAEEM BHI PBM ISB LAPTOPS 2'!A1" display="NAEEM BHAI PBM ISB LAPTOPS" xr:uid="{7B80B262-DCB7-475C-94F6-6F5F7A0CB3C3}"/>
    <hyperlink ref="B7" location="' ZAFAR &amp; SONS RWP 5 '!A1" display="ZAFAR  &amp; SONS RWP" xr:uid="{95348852-BAFE-4FA3-BEEB-2D9D08A3AA51}"/>
  </hyperlinks>
  <pageMargins left="0.7" right="0.7" top="0.75" bottom="0.75" header="0.3" footer="0.3"/>
  <pageSetup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BFF1E-AE57-4D0F-A79F-7AC54B339028}">
  <dimension ref="A1:H36"/>
  <sheetViews>
    <sheetView workbookViewId="0">
      <selection activeCell="D23" sqref="D23"/>
    </sheetView>
  </sheetViews>
  <sheetFormatPr defaultRowHeight="15" x14ac:dyDescent="0.25"/>
  <cols>
    <col min="1" max="1" width="14.7109375" customWidth="1"/>
    <col min="2" max="2" width="14.140625" customWidth="1"/>
    <col min="3" max="3" width="15.28515625" customWidth="1"/>
    <col min="4" max="4" width="48.140625" bestFit="1" customWidth="1"/>
    <col min="6" max="6" width="12.140625" customWidth="1"/>
    <col min="7" max="7" width="14.140625" customWidth="1"/>
  </cols>
  <sheetData>
    <row r="1" spans="1:8" ht="18.75" x14ac:dyDescent="0.3">
      <c r="A1" s="95" t="s">
        <v>0</v>
      </c>
      <c r="B1" s="95"/>
      <c r="C1" s="95"/>
      <c r="D1" s="95"/>
      <c r="E1" s="95"/>
      <c r="F1" s="95"/>
      <c r="G1" s="95"/>
      <c r="H1" s="95"/>
    </row>
    <row r="2" spans="1:8" ht="15.75" x14ac:dyDescent="0.25">
      <c r="A2" s="96" t="s">
        <v>598</v>
      </c>
      <c r="B2" s="96"/>
      <c r="C2" s="96"/>
      <c r="D2" s="96"/>
      <c r="E2" s="96"/>
      <c r="F2" s="96"/>
      <c r="G2" s="96"/>
      <c r="H2" s="96"/>
    </row>
    <row r="3" spans="1:8" x14ac:dyDescent="0.25">
      <c r="A3" s="97" t="s">
        <v>581</v>
      </c>
      <c r="B3" s="97"/>
      <c r="C3" s="97"/>
      <c r="D3" s="97"/>
      <c r="E3" s="97"/>
      <c r="F3" s="97"/>
      <c r="G3" s="97"/>
      <c r="H3" s="97"/>
    </row>
    <row r="4" spans="1:8" x14ac:dyDescent="0.25">
      <c r="A4" s="8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7" t="s">
        <v>6</v>
      </c>
      <c r="G4" s="98" t="s">
        <v>7</v>
      </c>
      <c r="H4" s="98"/>
    </row>
    <row r="5" spans="1:8" x14ac:dyDescent="0.25">
      <c r="E5" s="3"/>
      <c r="F5" s="3"/>
      <c r="G5" s="3"/>
      <c r="H5" s="2"/>
    </row>
    <row r="6" spans="1:8" x14ac:dyDescent="0.25">
      <c r="A6" s="9">
        <v>45008</v>
      </c>
      <c r="B6" s="34" t="s">
        <v>10</v>
      </c>
      <c r="C6" s="2" t="s">
        <v>599</v>
      </c>
      <c r="D6" s="36" t="s">
        <v>600</v>
      </c>
      <c r="E6" s="13"/>
      <c r="F6" s="13">
        <v>65000</v>
      </c>
      <c r="G6" s="3">
        <f>G5+F6-E6</f>
        <v>65000</v>
      </c>
      <c r="H6" s="2" t="str">
        <f>IF(G6=0,"NIL",IF(G6&gt;0,"CR","DR"))</f>
        <v>CR</v>
      </c>
    </row>
    <row r="7" spans="1:8" x14ac:dyDescent="0.25">
      <c r="A7" s="9">
        <v>45008</v>
      </c>
      <c r="B7" s="34" t="s">
        <v>10</v>
      </c>
      <c r="C7" s="2" t="s">
        <v>601</v>
      </c>
      <c r="D7" s="37" t="s">
        <v>618</v>
      </c>
      <c r="E7" s="13"/>
      <c r="F7" s="13">
        <v>60000</v>
      </c>
      <c r="G7" s="3">
        <f t="shared" ref="G7:G35" si="0">G6+F7-E7</f>
        <v>125000</v>
      </c>
      <c r="H7" s="2" t="str">
        <f t="shared" ref="H7:H36" si="1">IF(G7=0,"NIL",IF(G7&gt;0,"CR","DR"))</f>
        <v>CR</v>
      </c>
    </row>
    <row r="8" spans="1:8" ht="15.75" x14ac:dyDescent="0.25">
      <c r="A8" s="9">
        <v>45008</v>
      </c>
      <c r="B8" s="34" t="s">
        <v>10</v>
      </c>
      <c r="C8" s="2" t="s">
        <v>602</v>
      </c>
      <c r="D8" s="36" t="s">
        <v>619</v>
      </c>
      <c r="E8" s="13"/>
      <c r="F8" s="13">
        <v>65000</v>
      </c>
      <c r="G8" s="3">
        <f t="shared" si="0"/>
        <v>190000</v>
      </c>
      <c r="H8" s="2" t="str">
        <f t="shared" si="1"/>
        <v>CR</v>
      </c>
    </row>
    <row r="9" spans="1:8" ht="15.75" x14ac:dyDescent="0.25">
      <c r="A9" s="9">
        <v>45008</v>
      </c>
      <c r="B9" s="34" t="s">
        <v>10</v>
      </c>
      <c r="C9" s="2" t="s">
        <v>603</v>
      </c>
      <c r="D9" s="36" t="s">
        <v>619</v>
      </c>
      <c r="E9" s="13"/>
      <c r="F9" s="13">
        <v>65000</v>
      </c>
      <c r="G9" s="3">
        <f>G8+F9-E9</f>
        <v>255000</v>
      </c>
      <c r="H9" s="2" t="str">
        <f t="shared" si="1"/>
        <v>CR</v>
      </c>
    </row>
    <row r="10" spans="1:8" x14ac:dyDescent="0.25">
      <c r="A10" s="9">
        <v>45374</v>
      </c>
      <c r="B10" s="34" t="s">
        <v>10</v>
      </c>
      <c r="C10" s="2" t="s">
        <v>604</v>
      </c>
      <c r="D10" s="36" t="s">
        <v>620</v>
      </c>
      <c r="E10" s="13"/>
      <c r="F10" s="13">
        <v>58000</v>
      </c>
      <c r="G10" s="3">
        <f t="shared" si="0"/>
        <v>313000</v>
      </c>
      <c r="H10" s="2" t="str">
        <f t="shared" si="1"/>
        <v>CR</v>
      </c>
    </row>
    <row r="11" spans="1:8" x14ac:dyDescent="0.25">
      <c r="A11" s="9">
        <v>45374</v>
      </c>
      <c r="B11" s="34" t="s">
        <v>10</v>
      </c>
      <c r="C11" s="2" t="s">
        <v>605</v>
      </c>
      <c r="D11" s="37" t="s">
        <v>621</v>
      </c>
      <c r="E11" s="13"/>
      <c r="F11" s="13">
        <v>49000</v>
      </c>
      <c r="G11" s="3">
        <f t="shared" si="0"/>
        <v>362000</v>
      </c>
      <c r="H11" s="2" t="str">
        <f t="shared" si="1"/>
        <v>CR</v>
      </c>
    </row>
    <row r="12" spans="1:8" x14ac:dyDescent="0.25">
      <c r="A12" s="9">
        <v>45374</v>
      </c>
      <c r="B12" s="34" t="s">
        <v>10</v>
      </c>
      <c r="C12" s="2" t="s">
        <v>606</v>
      </c>
      <c r="D12" s="36" t="s">
        <v>622</v>
      </c>
      <c r="E12" s="13"/>
      <c r="F12" s="13">
        <v>43000</v>
      </c>
      <c r="G12" s="3">
        <f t="shared" si="0"/>
        <v>405000</v>
      </c>
      <c r="H12" s="2" t="str">
        <f t="shared" si="1"/>
        <v>CR</v>
      </c>
    </row>
    <row r="13" spans="1:8" x14ac:dyDescent="0.25">
      <c r="A13" s="9">
        <v>45374</v>
      </c>
      <c r="B13" s="34" t="s">
        <v>10</v>
      </c>
      <c r="C13" s="2" t="s">
        <v>607</v>
      </c>
      <c r="D13" s="36" t="s">
        <v>622</v>
      </c>
      <c r="E13" s="13"/>
      <c r="F13" s="13">
        <v>43000</v>
      </c>
      <c r="G13" s="3">
        <f t="shared" si="0"/>
        <v>448000</v>
      </c>
      <c r="H13" s="2" t="str">
        <f t="shared" si="1"/>
        <v>CR</v>
      </c>
    </row>
    <row r="14" spans="1:8" x14ac:dyDescent="0.25">
      <c r="A14" s="9">
        <v>45374</v>
      </c>
      <c r="B14" s="34" t="s">
        <v>10</v>
      </c>
      <c r="C14" s="2" t="s">
        <v>608</v>
      </c>
      <c r="D14" s="36" t="s">
        <v>622</v>
      </c>
      <c r="E14" s="13"/>
      <c r="F14" s="13">
        <v>43000</v>
      </c>
      <c r="G14" s="3">
        <f t="shared" si="0"/>
        <v>491000</v>
      </c>
      <c r="H14" s="2" t="str">
        <f t="shared" si="1"/>
        <v>CR</v>
      </c>
    </row>
    <row r="15" spans="1:8" ht="15.75" x14ac:dyDescent="0.25">
      <c r="A15" s="9">
        <v>45374</v>
      </c>
      <c r="B15" s="34" t="s">
        <v>10</v>
      </c>
      <c r="C15" s="2" t="s">
        <v>609</v>
      </c>
      <c r="D15" s="52" t="s">
        <v>714</v>
      </c>
      <c r="E15" s="13"/>
      <c r="F15" s="13">
        <v>45000</v>
      </c>
      <c r="G15" s="3">
        <f t="shared" si="0"/>
        <v>536000</v>
      </c>
      <c r="H15" s="2" t="str">
        <f t="shared" si="1"/>
        <v>CR</v>
      </c>
    </row>
    <row r="16" spans="1:8" x14ac:dyDescent="0.25">
      <c r="A16" s="9">
        <v>45008</v>
      </c>
      <c r="B16" s="34" t="s">
        <v>10</v>
      </c>
      <c r="C16" s="2" t="s">
        <v>610</v>
      </c>
      <c r="D16" s="37" t="s">
        <v>623</v>
      </c>
      <c r="E16" s="13"/>
      <c r="F16" s="13">
        <v>42000</v>
      </c>
      <c r="G16" s="3">
        <f>G15+F16-E16</f>
        <v>578000</v>
      </c>
      <c r="H16" s="2" t="str">
        <f t="shared" si="1"/>
        <v>CR</v>
      </c>
    </row>
    <row r="17" spans="1:8" x14ac:dyDescent="0.25">
      <c r="A17" s="9">
        <v>45374</v>
      </c>
      <c r="B17" s="34" t="s">
        <v>10</v>
      </c>
      <c r="C17" s="2" t="s">
        <v>611</v>
      </c>
      <c r="D17" s="37" t="s">
        <v>624</v>
      </c>
      <c r="E17" s="13"/>
      <c r="F17" s="13">
        <v>33500</v>
      </c>
      <c r="G17" s="3">
        <f t="shared" si="0"/>
        <v>611500</v>
      </c>
      <c r="H17" s="2" t="str">
        <f t="shared" si="1"/>
        <v>CR</v>
      </c>
    </row>
    <row r="18" spans="1:8" x14ac:dyDescent="0.25">
      <c r="A18" s="9">
        <v>45374</v>
      </c>
      <c r="B18" s="34" t="s">
        <v>10</v>
      </c>
      <c r="C18" s="2" t="s">
        <v>612</v>
      </c>
      <c r="D18" s="37" t="s">
        <v>625</v>
      </c>
      <c r="E18" s="13"/>
      <c r="F18" s="13">
        <v>41500</v>
      </c>
      <c r="G18" s="3">
        <f t="shared" si="0"/>
        <v>653000</v>
      </c>
      <c r="H18" s="2" t="str">
        <f t="shared" si="1"/>
        <v>CR</v>
      </c>
    </row>
    <row r="19" spans="1:8" x14ac:dyDescent="0.25">
      <c r="A19" s="9">
        <v>45374</v>
      </c>
      <c r="B19" s="34" t="s">
        <v>10</v>
      </c>
      <c r="C19" s="2" t="s">
        <v>613</v>
      </c>
      <c r="D19" s="37" t="s">
        <v>626</v>
      </c>
      <c r="E19" s="13"/>
      <c r="F19" s="13">
        <v>27000</v>
      </c>
      <c r="G19" s="3">
        <f t="shared" si="0"/>
        <v>680000</v>
      </c>
      <c r="H19" s="2" t="str">
        <f t="shared" si="1"/>
        <v>CR</v>
      </c>
    </row>
    <row r="20" spans="1:8" x14ac:dyDescent="0.25">
      <c r="A20" s="9">
        <v>45374</v>
      </c>
      <c r="B20" s="34" t="s">
        <v>10</v>
      </c>
      <c r="C20" s="2" t="s">
        <v>614</v>
      </c>
      <c r="D20" s="37" t="s">
        <v>627</v>
      </c>
      <c r="E20" s="3"/>
      <c r="F20" s="13">
        <v>34500</v>
      </c>
      <c r="G20" s="3">
        <f t="shared" si="0"/>
        <v>714500</v>
      </c>
      <c r="H20" s="2" t="str">
        <f t="shared" si="1"/>
        <v>CR</v>
      </c>
    </row>
    <row r="21" spans="1:8" x14ac:dyDescent="0.25">
      <c r="A21" s="9">
        <v>45374</v>
      </c>
      <c r="B21" s="34" t="s">
        <v>10</v>
      </c>
      <c r="C21" s="2" t="s">
        <v>615</v>
      </c>
      <c r="D21" s="37" t="s">
        <v>628</v>
      </c>
      <c r="E21" s="3"/>
      <c r="F21" s="13">
        <v>20000</v>
      </c>
      <c r="G21" s="3">
        <f t="shared" si="0"/>
        <v>734500</v>
      </c>
      <c r="H21" s="2" t="str">
        <f t="shared" si="1"/>
        <v>CR</v>
      </c>
    </row>
    <row r="22" spans="1:8" x14ac:dyDescent="0.25">
      <c r="A22" s="9">
        <v>45374</v>
      </c>
      <c r="B22" s="34" t="s">
        <v>10</v>
      </c>
      <c r="C22" s="2" t="s">
        <v>616</v>
      </c>
      <c r="D22" s="37" t="s">
        <v>630</v>
      </c>
      <c r="E22" s="3"/>
      <c r="F22" s="3">
        <v>20000</v>
      </c>
      <c r="G22" s="3">
        <f t="shared" si="0"/>
        <v>754500</v>
      </c>
      <c r="H22" s="2" t="str">
        <f t="shared" si="1"/>
        <v>CR</v>
      </c>
    </row>
    <row r="23" spans="1:8" x14ac:dyDescent="0.25">
      <c r="A23" s="9">
        <v>45374</v>
      </c>
      <c r="B23" s="34" t="s">
        <v>10</v>
      </c>
      <c r="C23" s="2" t="s">
        <v>617</v>
      </c>
      <c r="D23" s="37" t="s">
        <v>629</v>
      </c>
      <c r="E23" s="3"/>
      <c r="F23" s="3">
        <v>17000</v>
      </c>
      <c r="G23" s="3">
        <f t="shared" si="0"/>
        <v>771500</v>
      </c>
      <c r="H23" s="2" t="str">
        <f t="shared" si="1"/>
        <v>CR</v>
      </c>
    </row>
    <row r="24" spans="1:8" x14ac:dyDescent="0.25">
      <c r="A24" s="9">
        <v>45374</v>
      </c>
      <c r="B24" s="34" t="s">
        <v>10</v>
      </c>
      <c r="C24" s="2" t="s">
        <v>632</v>
      </c>
      <c r="D24" s="37" t="s">
        <v>715</v>
      </c>
      <c r="E24" s="3"/>
      <c r="F24" s="3">
        <v>12500</v>
      </c>
      <c r="G24" s="3">
        <f t="shared" si="0"/>
        <v>784000</v>
      </c>
      <c r="H24" s="2" t="str">
        <f t="shared" si="1"/>
        <v>CR</v>
      </c>
    </row>
    <row r="25" spans="1:8" x14ac:dyDescent="0.25">
      <c r="A25" s="9">
        <v>45374</v>
      </c>
      <c r="B25" s="34" t="s">
        <v>10</v>
      </c>
      <c r="C25" s="2" t="s">
        <v>633</v>
      </c>
      <c r="D25" s="37" t="s">
        <v>631</v>
      </c>
      <c r="E25" s="3"/>
      <c r="F25" s="3">
        <v>17000</v>
      </c>
      <c r="G25" s="3">
        <f t="shared" si="0"/>
        <v>801000</v>
      </c>
      <c r="H25" s="2" t="str">
        <f t="shared" si="1"/>
        <v>CR</v>
      </c>
    </row>
    <row r="26" spans="1:8" x14ac:dyDescent="0.25">
      <c r="A26" s="9">
        <v>45375</v>
      </c>
      <c r="B26" s="26" t="s">
        <v>634</v>
      </c>
      <c r="C26" s="26">
        <v>4624</v>
      </c>
      <c r="D26" s="2" t="s">
        <v>584</v>
      </c>
      <c r="E26" s="3">
        <v>45000</v>
      </c>
      <c r="F26" s="3"/>
      <c r="G26" s="3">
        <f t="shared" si="0"/>
        <v>756000</v>
      </c>
      <c r="H26" s="2" t="str">
        <f t="shared" si="1"/>
        <v>CR</v>
      </c>
    </row>
    <row r="27" spans="1:8" x14ac:dyDescent="0.25">
      <c r="A27" s="9">
        <v>45376</v>
      </c>
      <c r="B27" s="34" t="s">
        <v>10</v>
      </c>
      <c r="C27" s="2" t="s">
        <v>633</v>
      </c>
      <c r="D27" s="2" t="s">
        <v>636</v>
      </c>
      <c r="E27" s="3"/>
      <c r="F27" s="3">
        <v>48000</v>
      </c>
      <c r="G27" s="3">
        <f t="shared" si="0"/>
        <v>804000</v>
      </c>
      <c r="H27" s="2" t="str">
        <f t="shared" si="1"/>
        <v>CR</v>
      </c>
    </row>
    <row r="28" spans="1:8" x14ac:dyDescent="0.25">
      <c r="A28" s="9">
        <v>45378</v>
      </c>
      <c r="B28" s="34" t="s">
        <v>10</v>
      </c>
      <c r="C28" s="2" t="s">
        <v>633</v>
      </c>
      <c r="D28" s="2" t="s">
        <v>638</v>
      </c>
      <c r="E28" s="3"/>
      <c r="F28" s="3">
        <v>102000</v>
      </c>
      <c r="G28" s="3">
        <f>G27+F28-E28</f>
        <v>906000</v>
      </c>
      <c r="H28" s="2" t="str">
        <f t="shared" si="1"/>
        <v>CR</v>
      </c>
    </row>
    <row r="29" spans="1:8" x14ac:dyDescent="0.25">
      <c r="A29" s="9">
        <v>45383</v>
      </c>
      <c r="B29" s="34" t="s">
        <v>33</v>
      </c>
      <c r="C29" s="2" t="s">
        <v>644</v>
      </c>
      <c r="D29" s="53" t="s">
        <v>639</v>
      </c>
      <c r="E29" s="3">
        <v>43000</v>
      </c>
      <c r="F29" s="3"/>
      <c r="G29" s="3">
        <f t="shared" si="0"/>
        <v>863000</v>
      </c>
      <c r="H29" s="2" t="str">
        <f t="shared" si="1"/>
        <v>CR</v>
      </c>
    </row>
    <row r="30" spans="1:8" x14ac:dyDescent="0.25">
      <c r="A30" s="9">
        <v>45406</v>
      </c>
      <c r="B30" s="26" t="s">
        <v>634</v>
      </c>
      <c r="C30" s="26">
        <v>6411</v>
      </c>
      <c r="D30" s="53" t="s">
        <v>643</v>
      </c>
      <c r="E30" s="3">
        <v>122000</v>
      </c>
      <c r="F30" s="3"/>
      <c r="G30" s="3">
        <f t="shared" si="0"/>
        <v>741000</v>
      </c>
      <c r="H30" s="2" t="str">
        <f t="shared" si="1"/>
        <v>CR</v>
      </c>
    </row>
    <row r="31" spans="1:8" x14ac:dyDescent="0.25">
      <c r="A31" s="9">
        <v>45406</v>
      </c>
      <c r="B31" s="34" t="s">
        <v>33</v>
      </c>
      <c r="C31" s="2" t="s">
        <v>633</v>
      </c>
      <c r="D31" s="2" t="s">
        <v>645</v>
      </c>
      <c r="E31" s="3">
        <v>91000</v>
      </c>
      <c r="F31" s="3"/>
      <c r="G31" s="3">
        <f t="shared" si="0"/>
        <v>650000</v>
      </c>
      <c r="H31" s="2" t="str">
        <f t="shared" si="1"/>
        <v>CR</v>
      </c>
    </row>
    <row r="32" spans="1:8" x14ac:dyDescent="0.25">
      <c r="A32" s="9">
        <v>45414</v>
      </c>
      <c r="B32" s="26" t="s">
        <v>634</v>
      </c>
      <c r="C32" s="26">
        <v>6411</v>
      </c>
      <c r="D32" s="2" t="s">
        <v>650</v>
      </c>
      <c r="E32" s="3">
        <v>58000</v>
      </c>
      <c r="F32" s="3"/>
      <c r="G32" s="3">
        <f t="shared" si="0"/>
        <v>592000</v>
      </c>
      <c r="H32" s="2" t="str">
        <f t="shared" si="1"/>
        <v>CR</v>
      </c>
    </row>
    <row r="33" spans="1:8" x14ac:dyDescent="0.25">
      <c r="A33" s="9">
        <v>45415</v>
      </c>
      <c r="B33" s="34" t="s">
        <v>33</v>
      </c>
      <c r="C33" s="2" t="s">
        <v>633</v>
      </c>
      <c r="D33" s="2" t="s">
        <v>651</v>
      </c>
      <c r="E33" s="3">
        <v>130000</v>
      </c>
      <c r="F33" s="3"/>
      <c r="G33" s="3">
        <f t="shared" si="0"/>
        <v>462000</v>
      </c>
      <c r="H33" s="2" t="str">
        <f t="shared" si="1"/>
        <v>CR</v>
      </c>
    </row>
    <row r="34" spans="1:8" x14ac:dyDescent="0.25">
      <c r="A34" s="9">
        <v>45421</v>
      </c>
      <c r="B34" s="26" t="s">
        <v>634</v>
      </c>
      <c r="C34" s="26">
        <v>6411</v>
      </c>
      <c r="D34" s="2" t="s">
        <v>654</v>
      </c>
      <c r="E34" s="3">
        <v>27000</v>
      </c>
      <c r="F34" s="3"/>
      <c r="G34" s="3">
        <f t="shared" si="0"/>
        <v>435000</v>
      </c>
      <c r="H34" s="2" t="str">
        <f t="shared" si="1"/>
        <v>CR</v>
      </c>
    </row>
    <row r="35" spans="1:8" x14ac:dyDescent="0.25">
      <c r="A35" s="9">
        <v>45421</v>
      </c>
      <c r="B35" s="34" t="s">
        <v>10</v>
      </c>
      <c r="C35" s="2" t="s">
        <v>644</v>
      </c>
      <c r="D35" s="2" t="s">
        <v>655</v>
      </c>
      <c r="E35" s="3"/>
      <c r="F35" s="3">
        <v>60000</v>
      </c>
      <c r="G35" s="3">
        <f t="shared" si="0"/>
        <v>495000</v>
      </c>
      <c r="H35" s="2" t="str">
        <f t="shared" si="1"/>
        <v>CR</v>
      </c>
    </row>
    <row r="36" spans="1:8" ht="15.75" x14ac:dyDescent="0.25">
      <c r="A36" s="10"/>
      <c r="B36" s="4"/>
      <c r="C36" s="4"/>
      <c r="D36" s="4" t="s">
        <v>9</v>
      </c>
      <c r="E36" s="5">
        <f>SUM(E6:E35)</f>
        <v>516000</v>
      </c>
      <c r="F36" s="5">
        <f>SUM(F6:F35)</f>
        <v>1011000</v>
      </c>
      <c r="G36" s="35">
        <f>G5+F36-E36</f>
        <v>495000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F2B6-BF26-4EA9-9087-6AA9CFABAB94}">
  <dimension ref="A1:J34"/>
  <sheetViews>
    <sheetView topLeftCell="A19" workbookViewId="0">
      <selection activeCell="B30" sqref="B30"/>
    </sheetView>
  </sheetViews>
  <sheetFormatPr defaultRowHeight="15" x14ac:dyDescent="0.25"/>
  <cols>
    <col min="1" max="1" width="14.7109375" customWidth="1"/>
    <col min="2" max="2" width="14.140625" customWidth="1"/>
    <col min="3" max="3" width="15.28515625" customWidth="1"/>
    <col min="4" max="4" width="57.85546875" customWidth="1"/>
    <col min="6" max="6" width="12.140625" customWidth="1"/>
    <col min="7" max="7" width="14.140625" customWidth="1"/>
    <col min="10" max="10" width="14.7109375" bestFit="1" customWidth="1"/>
  </cols>
  <sheetData>
    <row r="1" spans="1:10" ht="18.75" x14ac:dyDescent="0.3">
      <c r="A1" s="95" t="s">
        <v>0</v>
      </c>
      <c r="B1" s="95"/>
      <c r="C1" s="95"/>
      <c r="D1" s="95"/>
      <c r="E1" s="95"/>
      <c r="F1" s="95"/>
      <c r="G1" s="95"/>
      <c r="H1" s="95"/>
      <c r="J1" s="42" t="s">
        <v>670</v>
      </c>
    </row>
    <row r="2" spans="1:10" ht="15.75" x14ac:dyDescent="0.25">
      <c r="A2" s="96" t="s">
        <v>598</v>
      </c>
      <c r="B2" s="96"/>
      <c r="C2" s="96"/>
      <c r="D2" s="96"/>
      <c r="E2" s="96"/>
      <c r="F2" s="96"/>
      <c r="G2" s="96"/>
      <c r="H2" s="96"/>
    </row>
    <row r="3" spans="1:10" x14ac:dyDescent="0.25">
      <c r="A3" s="97" t="s">
        <v>581</v>
      </c>
      <c r="B3" s="97"/>
      <c r="C3" s="97"/>
      <c r="D3" s="97"/>
      <c r="E3" s="97"/>
      <c r="F3" s="97"/>
      <c r="G3" s="97"/>
      <c r="H3" s="97"/>
    </row>
    <row r="4" spans="1:10" x14ac:dyDescent="0.25">
      <c r="A4" s="45" t="s">
        <v>1</v>
      </c>
      <c r="B4" s="46" t="s">
        <v>2</v>
      </c>
      <c r="C4" s="46" t="s">
        <v>3</v>
      </c>
      <c r="D4" s="46" t="s">
        <v>4</v>
      </c>
      <c r="E4" s="47" t="s">
        <v>5</v>
      </c>
      <c r="F4" s="47" t="s">
        <v>6</v>
      </c>
      <c r="G4" s="99" t="s">
        <v>7</v>
      </c>
      <c r="H4" s="99"/>
    </row>
    <row r="5" spans="1:10" x14ac:dyDescent="0.25">
      <c r="A5" s="2"/>
      <c r="B5" s="2"/>
      <c r="C5" s="2"/>
      <c r="D5" s="2"/>
      <c r="E5" s="3"/>
      <c r="F5" s="3"/>
      <c r="G5" s="3">
        <f>'NAEEM BHI PBM 1'!G36</f>
        <v>495000</v>
      </c>
      <c r="H5" s="2"/>
    </row>
    <row r="6" spans="1:10" x14ac:dyDescent="0.25">
      <c r="A6" s="9">
        <v>45423</v>
      </c>
      <c r="B6" s="34" t="s">
        <v>10</v>
      </c>
      <c r="C6" s="2" t="s">
        <v>644</v>
      </c>
      <c r="D6" s="2" t="s">
        <v>658</v>
      </c>
      <c r="E6" s="13"/>
      <c r="F6" s="13">
        <v>41000</v>
      </c>
      <c r="G6" s="3">
        <f>G5+F6-E6</f>
        <v>536000</v>
      </c>
      <c r="H6" s="2" t="str">
        <f>IF(G6=0,"NIL",IF(G6&gt;0,"CR","DR"))</f>
        <v>CR</v>
      </c>
    </row>
    <row r="7" spans="1:10" x14ac:dyDescent="0.25">
      <c r="A7" s="9">
        <v>45435</v>
      </c>
      <c r="B7" s="34" t="s">
        <v>10</v>
      </c>
      <c r="C7" s="2"/>
      <c r="D7" s="38" t="s">
        <v>668</v>
      </c>
      <c r="E7" s="13"/>
      <c r="F7" s="21">
        <v>43000</v>
      </c>
      <c r="G7" s="3">
        <f t="shared" ref="G7:G33" si="0">G6+F7-E7</f>
        <v>579000</v>
      </c>
      <c r="H7" s="2" t="str">
        <f t="shared" ref="H7:H34" si="1">IF(G7=0,"NIL",IF(G7&gt;0,"CR","DR"))</f>
        <v>CR</v>
      </c>
    </row>
    <row r="8" spans="1:10" x14ac:dyDescent="0.25">
      <c r="A8" s="9">
        <v>45435</v>
      </c>
      <c r="B8" s="34" t="s">
        <v>10</v>
      </c>
      <c r="C8" s="2"/>
      <c r="D8" s="38" t="s">
        <v>668</v>
      </c>
      <c r="E8" s="13"/>
      <c r="F8" s="21">
        <v>43000</v>
      </c>
      <c r="G8" s="3">
        <f t="shared" si="0"/>
        <v>622000</v>
      </c>
      <c r="H8" s="2" t="str">
        <f t="shared" si="1"/>
        <v>CR</v>
      </c>
    </row>
    <row r="9" spans="1:10" x14ac:dyDescent="0.25">
      <c r="A9" s="9">
        <v>45435</v>
      </c>
      <c r="B9" s="34" t="s">
        <v>10</v>
      </c>
      <c r="C9" s="2"/>
      <c r="D9" s="37" t="s">
        <v>669</v>
      </c>
      <c r="E9" s="13"/>
      <c r="F9" s="13">
        <v>47000</v>
      </c>
      <c r="G9" s="3">
        <f>G8+F9-E9</f>
        <v>669000</v>
      </c>
      <c r="H9" s="2" t="str">
        <f t="shared" si="1"/>
        <v>CR</v>
      </c>
    </row>
    <row r="10" spans="1:10" x14ac:dyDescent="0.25">
      <c r="A10" s="9">
        <v>45437</v>
      </c>
      <c r="B10" s="34" t="s">
        <v>10</v>
      </c>
      <c r="C10" s="2"/>
      <c r="D10" s="36" t="s">
        <v>673</v>
      </c>
      <c r="E10" s="13"/>
      <c r="F10" s="13">
        <v>18000</v>
      </c>
      <c r="G10" s="3">
        <f t="shared" si="0"/>
        <v>687000</v>
      </c>
      <c r="H10" s="2" t="str">
        <f t="shared" si="1"/>
        <v>CR</v>
      </c>
    </row>
    <row r="11" spans="1:10" x14ac:dyDescent="0.25">
      <c r="A11" s="9">
        <v>45441</v>
      </c>
      <c r="B11" s="34" t="s">
        <v>8</v>
      </c>
      <c r="C11" s="26">
        <v>47882</v>
      </c>
      <c r="D11" s="37" t="s">
        <v>674</v>
      </c>
      <c r="E11" s="13">
        <v>98500</v>
      </c>
      <c r="F11" s="13">
        <v>0</v>
      </c>
      <c r="G11" s="3">
        <f t="shared" si="0"/>
        <v>588500</v>
      </c>
      <c r="H11" s="2" t="str">
        <f t="shared" si="1"/>
        <v>CR</v>
      </c>
    </row>
    <row r="12" spans="1:10" x14ac:dyDescent="0.25">
      <c r="A12" s="9">
        <v>45445</v>
      </c>
      <c r="B12" s="34" t="s">
        <v>10</v>
      </c>
      <c r="C12" s="26"/>
      <c r="D12" s="37" t="s">
        <v>677</v>
      </c>
      <c r="E12" s="13">
        <v>0</v>
      </c>
      <c r="F12" s="13">
        <v>105000</v>
      </c>
      <c r="G12" s="3">
        <f t="shared" si="0"/>
        <v>693500</v>
      </c>
      <c r="H12" s="2" t="str">
        <f t="shared" si="1"/>
        <v>CR</v>
      </c>
    </row>
    <row r="13" spans="1:10" x14ac:dyDescent="0.25">
      <c r="A13" s="9">
        <v>45445</v>
      </c>
      <c r="B13" s="34" t="s">
        <v>10</v>
      </c>
      <c r="C13" s="2"/>
      <c r="D13" s="51" t="s">
        <v>678</v>
      </c>
      <c r="E13" s="13">
        <v>0</v>
      </c>
      <c r="F13" s="21">
        <v>43000</v>
      </c>
      <c r="G13" s="3">
        <f t="shared" si="0"/>
        <v>736500</v>
      </c>
      <c r="H13" s="2" t="str">
        <f t="shared" si="1"/>
        <v>CR</v>
      </c>
    </row>
    <row r="14" spans="1:10" x14ac:dyDescent="0.25">
      <c r="A14" s="9">
        <v>45450</v>
      </c>
      <c r="B14" s="34" t="s">
        <v>8</v>
      </c>
      <c r="C14" s="26">
        <v>47882</v>
      </c>
      <c r="D14" s="36" t="s">
        <v>686</v>
      </c>
      <c r="E14" s="13">
        <v>80000</v>
      </c>
      <c r="F14" s="13">
        <v>0</v>
      </c>
      <c r="G14" s="3">
        <f t="shared" si="0"/>
        <v>656500</v>
      </c>
      <c r="H14" s="2" t="str">
        <f t="shared" si="1"/>
        <v>CR</v>
      </c>
    </row>
    <row r="15" spans="1:10" x14ac:dyDescent="0.25">
      <c r="A15" s="9">
        <v>45454</v>
      </c>
      <c r="B15" s="34" t="s">
        <v>10</v>
      </c>
      <c r="C15" s="2"/>
      <c r="D15" s="37" t="s">
        <v>689</v>
      </c>
      <c r="E15" s="13"/>
      <c r="F15" s="13">
        <v>70000</v>
      </c>
      <c r="G15" s="3">
        <f t="shared" si="0"/>
        <v>726500</v>
      </c>
      <c r="H15" s="2" t="str">
        <f t="shared" si="1"/>
        <v>CR</v>
      </c>
    </row>
    <row r="16" spans="1:10" x14ac:dyDescent="0.25">
      <c r="A16" s="9">
        <v>45475</v>
      </c>
      <c r="B16" s="34" t="s">
        <v>8</v>
      </c>
      <c r="C16" s="2">
        <v>47852</v>
      </c>
      <c r="D16" s="37" t="s">
        <v>702</v>
      </c>
      <c r="E16" s="13">
        <v>94500</v>
      </c>
      <c r="F16" s="13"/>
      <c r="G16" s="3">
        <f>G15+F16-E16</f>
        <v>632000</v>
      </c>
      <c r="H16" s="2" t="str">
        <f t="shared" si="1"/>
        <v>CR</v>
      </c>
    </row>
    <row r="17" spans="1:8" x14ac:dyDescent="0.25">
      <c r="A17" s="9">
        <v>45477</v>
      </c>
      <c r="B17" s="34" t="s">
        <v>10</v>
      </c>
      <c r="C17" s="2"/>
      <c r="D17" s="37" t="s">
        <v>704</v>
      </c>
      <c r="E17" s="13"/>
      <c r="F17" s="13">
        <v>12000</v>
      </c>
      <c r="G17" s="3">
        <f t="shared" si="0"/>
        <v>644000</v>
      </c>
      <c r="H17" s="2" t="str">
        <f t="shared" si="1"/>
        <v>CR</v>
      </c>
    </row>
    <row r="18" spans="1:8" x14ac:dyDescent="0.25">
      <c r="A18" s="9">
        <v>45477</v>
      </c>
      <c r="B18" s="34" t="s">
        <v>10</v>
      </c>
      <c r="C18" s="2"/>
      <c r="D18" s="37" t="s">
        <v>705</v>
      </c>
      <c r="E18" s="13"/>
      <c r="F18" s="13">
        <v>12000</v>
      </c>
      <c r="G18" s="3">
        <f t="shared" si="0"/>
        <v>656000</v>
      </c>
      <c r="H18" s="2" t="str">
        <f t="shared" si="1"/>
        <v>CR</v>
      </c>
    </row>
    <row r="19" spans="1:8" x14ac:dyDescent="0.25">
      <c r="A19" s="9">
        <v>45477</v>
      </c>
      <c r="B19" s="34" t="s">
        <v>10</v>
      </c>
      <c r="C19" s="2"/>
      <c r="D19" s="37" t="s">
        <v>706</v>
      </c>
      <c r="E19" s="13"/>
      <c r="F19" s="13">
        <v>53000</v>
      </c>
      <c r="G19" s="3">
        <f t="shared" si="0"/>
        <v>709000</v>
      </c>
      <c r="H19" s="2" t="str">
        <f t="shared" si="1"/>
        <v>CR</v>
      </c>
    </row>
    <row r="20" spans="1:8" x14ac:dyDescent="0.25">
      <c r="A20" s="9">
        <v>45477</v>
      </c>
      <c r="B20" s="34" t="s">
        <v>10</v>
      </c>
      <c r="C20" s="2"/>
      <c r="D20" s="37" t="s">
        <v>707</v>
      </c>
      <c r="E20" s="3"/>
      <c r="F20" s="13">
        <v>42000</v>
      </c>
      <c r="G20" s="3">
        <f t="shared" si="0"/>
        <v>751000</v>
      </c>
      <c r="H20" s="2" t="str">
        <f t="shared" si="1"/>
        <v>CR</v>
      </c>
    </row>
    <row r="21" spans="1:8" x14ac:dyDescent="0.25">
      <c r="A21" s="9">
        <v>45485</v>
      </c>
      <c r="B21" s="34" t="s">
        <v>8</v>
      </c>
      <c r="C21" s="2"/>
      <c r="D21" s="37" t="s">
        <v>710</v>
      </c>
      <c r="E21" s="3">
        <v>139000</v>
      </c>
      <c r="F21" s="13"/>
      <c r="G21" s="3">
        <f t="shared" si="0"/>
        <v>612000</v>
      </c>
      <c r="H21" s="2" t="str">
        <f t="shared" si="1"/>
        <v>CR</v>
      </c>
    </row>
    <row r="22" spans="1:8" x14ac:dyDescent="0.25">
      <c r="A22" s="9">
        <v>45485</v>
      </c>
      <c r="B22" s="34" t="s">
        <v>10</v>
      </c>
      <c r="C22" s="2"/>
      <c r="D22" s="37" t="s">
        <v>706</v>
      </c>
      <c r="E22" s="3"/>
      <c r="F22" s="3">
        <v>53000</v>
      </c>
      <c r="G22" s="3">
        <f t="shared" si="0"/>
        <v>665000</v>
      </c>
      <c r="H22" s="2" t="str">
        <f t="shared" si="1"/>
        <v>CR</v>
      </c>
    </row>
    <row r="23" spans="1:8" x14ac:dyDescent="0.25">
      <c r="A23" s="9">
        <v>45485</v>
      </c>
      <c r="B23" s="34" t="s">
        <v>10</v>
      </c>
      <c r="C23" s="2"/>
      <c r="D23" s="51" t="s">
        <v>712</v>
      </c>
      <c r="E23" s="21"/>
      <c r="F23" s="21">
        <v>41000</v>
      </c>
      <c r="G23" s="3">
        <f t="shared" si="0"/>
        <v>706000</v>
      </c>
      <c r="H23" s="2" t="str">
        <f t="shared" si="1"/>
        <v>CR</v>
      </c>
    </row>
    <row r="24" spans="1:8" x14ac:dyDescent="0.25">
      <c r="A24" s="9">
        <v>45485</v>
      </c>
      <c r="B24" s="34" t="s">
        <v>10</v>
      </c>
      <c r="C24" s="2"/>
      <c r="D24" s="38" t="s">
        <v>669</v>
      </c>
      <c r="E24" s="21"/>
      <c r="F24" s="21">
        <v>47000</v>
      </c>
      <c r="G24" s="3">
        <f t="shared" si="0"/>
        <v>753000</v>
      </c>
      <c r="H24" s="2" t="str">
        <f t="shared" si="1"/>
        <v>CR</v>
      </c>
    </row>
    <row r="25" spans="1:8" x14ac:dyDescent="0.25">
      <c r="A25" s="9">
        <v>45485</v>
      </c>
      <c r="B25" s="34" t="s">
        <v>10</v>
      </c>
      <c r="C25" s="2"/>
      <c r="D25" s="36" t="s">
        <v>711</v>
      </c>
      <c r="E25" s="3"/>
      <c r="F25" s="3">
        <v>34000</v>
      </c>
      <c r="G25" s="3">
        <f t="shared" si="0"/>
        <v>787000</v>
      </c>
      <c r="H25" s="2" t="str">
        <f t="shared" si="1"/>
        <v>CR</v>
      </c>
    </row>
    <row r="26" spans="1:8" x14ac:dyDescent="0.25">
      <c r="A26" s="9">
        <v>45485</v>
      </c>
      <c r="B26" s="34" t="s">
        <v>10</v>
      </c>
      <c r="C26" s="26"/>
      <c r="D26" s="36" t="s">
        <v>713</v>
      </c>
      <c r="E26" s="3"/>
      <c r="F26" s="3">
        <v>44000</v>
      </c>
      <c r="G26" s="3">
        <f t="shared" si="0"/>
        <v>831000</v>
      </c>
      <c r="H26" s="2" t="str">
        <f t="shared" si="1"/>
        <v>CR</v>
      </c>
    </row>
    <row r="27" spans="1:8" x14ac:dyDescent="0.25">
      <c r="A27" s="9">
        <v>45494</v>
      </c>
      <c r="B27" s="34" t="s">
        <v>33</v>
      </c>
      <c r="C27" s="2"/>
      <c r="D27" s="36" t="s">
        <v>717</v>
      </c>
      <c r="E27" s="3">
        <v>105000</v>
      </c>
      <c r="F27" s="3"/>
      <c r="G27" s="3">
        <f t="shared" si="0"/>
        <v>726000</v>
      </c>
      <c r="H27" s="2" t="str">
        <f t="shared" si="1"/>
        <v>CR</v>
      </c>
    </row>
    <row r="28" spans="1:8" x14ac:dyDescent="0.25">
      <c r="A28" s="9">
        <v>45494</v>
      </c>
      <c r="B28" s="34" t="s">
        <v>33</v>
      </c>
      <c r="C28" s="2"/>
      <c r="D28" s="36" t="s">
        <v>718</v>
      </c>
      <c r="E28" s="3">
        <v>34000</v>
      </c>
      <c r="F28" s="3"/>
      <c r="G28" s="3">
        <f>G27+F28-E28</f>
        <v>692000</v>
      </c>
      <c r="H28" s="2" t="str">
        <f t="shared" si="1"/>
        <v>CR</v>
      </c>
    </row>
    <row r="29" spans="1:8" x14ac:dyDescent="0.25">
      <c r="A29" s="9">
        <v>45503</v>
      </c>
      <c r="B29" s="34" t="s">
        <v>8</v>
      </c>
      <c r="C29" s="2"/>
      <c r="D29" s="36" t="s">
        <v>721</v>
      </c>
      <c r="E29" s="3">
        <v>130000</v>
      </c>
      <c r="F29" s="3"/>
      <c r="G29" s="3">
        <f t="shared" si="0"/>
        <v>562000</v>
      </c>
      <c r="H29" s="2" t="str">
        <f t="shared" si="1"/>
        <v>CR</v>
      </c>
    </row>
    <row r="30" spans="1:8" x14ac:dyDescent="0.25">
      <c r="A30" s="9">
        <v>45507</v>
      </c>
      <c r="B30" s="26" t="s">
        <v>10</v>
      </c>
      <c r="C30" s="26"/>
      <c r="D30" s="36" t="s">
        <v>726</v>
      </c>
      <c r="E30" s="3"/>
      <c r="F30" s="3">
        <v>28000</v>
      </c>
      <c r="G30" s="3">
        <f t="shared" si="0"/>
        <v>590000</v>
      </c>
      <c r="H30" s="2" t="str">
        <f t="shared" si="1"/>
        <v>CR</v>
      </c>
    </row>
    <row r="31" spans="1:8" x14ac:dyDescent="0.25">
      <c r="A31" s="9">
        <v>45507</v>
      </c>
      <c r="B31" s="26" t="s">
        <v>10</v>
      </c>
      <c r="C31" s="2"/>
      <c r="D31" s="36" t="s">
        <v>727</v>
      </c>
      <c r="E31" s="3"/>
      <c r="F31" s="3">
        <v>53000</v>
      </c>
      <c r="G31" s="3">
        <f t="shared" si="0"/>
        <v>643000</v>
      </c>
      <c r="H31" s="2" t="str">
        <f t="shared" si="1"/>
        <v>CR</v>
      </c>
    </row>
    <row r="32" spans="1:8" x14ac:dyDescent="0.25">
      <c r="A32" s="9">
        <v>45511</v>
      </c>
      <c r="B32" s="34" t="s">
        <v>8</v>
      </c>
      <c r="C32" s="26"/>
      <c r="D32" s="36" t="s">
        <v>728</v>
      </c>
      <c r="E32" s="3">
        <v>102000</v>
      </c>
      <c r="F32" s="3"/>
      <c r="G32" s="3">
        <f t="shared" si="0"/>
        <v>541000</v>
      </c>
      <c r="H32" s="2" t="str">
        <f t="shared" si="1"/>
        <v>CR</v>
      </c>
    </row>
    <row r="33" spans="1:8" x14ac:dyDescent="0.25">
      <c r="A33" s="9">
        <v>45512</v>
      </c>
      <c r="B33" s="34" t="s">
        <v>10</v>
      </c>
      <c r="C33" s="2"/>
      <c r="D33" s="36" t="s">
        <v>730</v>
      </c>
      <c r="E33" s="3"/>
      <c r="F33" s="3">
        <v>70000</v>
      </c>
      <c r="G33" s="3">
        <f t="shared" si="0"/>
        <v>611000</v>
      </c>
      <c r="H33" s="2" t="str">
        <f t="shared" si="1"/>
        <v>CR</v>
      </c>
    </row>
    <row r="34" spans="1:8" ht="15.75" x14ac:dyDescent="0.25">
      <c r="A34" s="10"/>
      <c r="B34" s="4"/>
      <c r="C34" s="4"/>
      <c r="D34" s="4" t="s">
        <v>9</v>
      </c>
      <c r="E34" s="5">
        <f>SUM(E6:E33)</f>
        <v>783000</v>
      </c>
      <c r="F34" s="5">
        <f>SUM(F6:F33)</f>
        <v>899000</v>
      </c>
      <c r="G34" s="35">
        <f>G5+F34-E34</f>
        <v>611000</v>
      </c>
      <c r="H34" s="4" t="str">
        <f t="shared" si="1"/>
        <v>CR</v>
      </c>
    </row>
  </sheetData>
  <mergeCells count="4">
    <mergeCell ref="A1:H1"/>
    <mergeCell ref="A2:H2"/>
    <mergeCell ref="A3:H3"/>
    <mergeCell ref="G4:H4"/>
  </mergeCells>
  <phoneticPr fontId="13" type="noConversion"/>
  <hyperlinks>
    <hyperlink ref="J1" location="'PAYABLES-2024'!A1" display="PAYABLE HOME" xr:uid="{3DEA43FD-90C8-450E-8D26-DEE499EED174}"/>
  </hyperlink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E093-B1AF-4F88-9A4C-FE17F10B21F7}">
  <dimension ref="A1:J36"/>
  <sheetViews>
    <sheetView topLeftCell="A4" workbookViewId="0">
      <selection sqref="A1:H1"/>
    </sheetView>
  </sheetViews>
  <sheetFormatPr defaultRowHeight="15" x14ac:dyDescent="0.25"/>
  <cols>
    <col min="1" max="1" width="14.7109375" customWidth="1"/>
    <col min="2" max="2" width="14.140625" customWidth="1"/>
    <col min="3" max="3" width="15.28515625" customWidth="1"/>
    <col min="4" max="4" width="57.85546875" customWidth="1"/>
    <col min="6" max="6" width="12.140625" customWidth="1"/>
    <col min="7" max="7" width="14.140625" customWidth="1"/>
    <col min="10" max="10" width="14.7109375" bestFit="1" customWidth="1"/>
  </cols>
  <sheetData>
    <row r="1" spans="1:10" ht="18.75" x14ac:dyDescent="0.3">
      <c r="A1" s="95" t="s">
        <v>0</v>
      </c>
      <c r="B1" s="95"/>
      <c r="C1" s="95"/>
      <c r="D1" s="95"/>
      <c r="E1" s="95"/>
      <c r="F1" s="95"/>
      <c r="G1" s="95"/>
      <c r="H1" s="95"/>
      <c r="J1" s="42" t="s">
        <v>670</v>
      </c>
    </row>
    <row r="2" spans="1:10" ht="15.75" x14ac:dyDescent="0.25">
      <c r="A2" s="96" t="s">
        <v>598</v>
      </c>
      <c r="B2" s="96"/>
      <c r="C2" s="96"/>
      <c r="D2" s="96"/>
      <c r="E2" s="96"/>
      <c r="F2" s="96"/>
      <c r="G2" s="96"/>
      <c r="H2" s="96"/>
    </row>
    <row r="3" spans="1:10" x14ac:dyDescent="0.25">
      <c r="A3" s="97" t="s">
        <v>581</v>
      </c>
      <c r="B3" s="97"/>
      <c r="C3" s="97"/>
      <c r="D3" s="97"/>
      <c r="E3" s="97"/>
      <c r="F3" s="97"/>
      <c r="G3" s="97"/>
      <c r="H3" s="97"/>
    </row>
    <row r="4" spans="1:10" x14ac:dyDescent="0.25">
      <c r="A4" s="45" t="s">
        <v>1</v>
      </c>
      <c r="B4" s="46" t="s">
        <v>2</v>
      </c>
      <c r="C4" s="46" t="s">
        <v>3</v>
      </c>
      <c r="D4" s="46" t="s">
        <v>4</v>
      </c>
      <c r="E4" s="88" t="s">
        <v>5</v>
      </c>
      <c r="F4" s="88" t="s">
        <v>6</v>
      </c>
      <c r="G4" s="99" t="s">
        <v>7</v>
      </c>
      <c r="H4" s="99"/>
    </row>
    <row r="5" spans="1:10" x14ac:dyDescent="0.25">
      <c r="A5" s="2"/>
      <c r="B5" s="2"/>
      <c r="C5" s="2"/>
      <c r="D5" s="2"/>
      <c r="E5" s="3"/>
      <c r="F5" s="3"/>
      <c r="G5" s="3">
        <f>'NAEEM BHI PBM-2'!G34</f>
        <v>611000</v>
      </c>
      <c r="H5" s="2"/>
    </row>
    <row r="6" spans="1:10" x14ac:dyDescent="0.25">
      <c r="A6" s="9">
        <v>45513</v>
      </c>
      <c r="B6" s="34" t="s">
        <v>33</v>
      </c>
      <c r="C6" s="2" t="s">
        <v>129</v>
      </c>
      <c r="D6" s="2" t="s">
        <v>731</v>
      </c>
      <c r="E6" s="13">
        <v>28000</v>
      </c>
      <c r="F6" s="13"/>
      <c r="G6" s="3">
        <f>G5+F6-E6</f>
        <v>583000</v>
      </c>
      <c r="H6" s="2" t="str">
        <f>IF(G6=0,"NIL",IF(G6&gt;0,"CR","DR"))</f>
        <v>CR</v>
      </c>
    </row>
    <row r="7" spans="1:10" x14ac:dyDescent="0.25">
      <c r="A7" s="9">
        <v>45519</v>
      </c>
      <c r="B7" s="34" t="s">
        <v>10</v>
      </c>
      <c r="C7" s="34">
        <v>907032174</v>
      </c>
      <c r="D7" s="37" t="s">
        <v>736</v>
      </c>
      <c r="E7" s="13"/>
      <c r="F7" s="13">
        <v>59000</v>
      </c>
      <c r="G7" s="3">
        <f t="shared" ref="G7:G35" si="0">G6+F7-E7</f>
        <v>642000</v>
      </c>
      <c r="H7" s="2" t="str">
        <f t="shared" ref="H7:H36" si="1">IF(G7=0,"NIL",IF(G7&gt;0,"CR","DR"))</f>
        <v>CR</v>
      </c>
    </row>
    <row r="8" spans="1:10" x14ac:dyDescent="0.25">
      <c r="A8" s="9">
        <v>45521</v>
      </c>
      <c r="B8" s="34" t="s">
        <v>33</v>
      </c>
      <c r="C8" s="2" t="s">
        <v>129</v>
      </c>
      <c r="D8" s="37" t="s">
        <v>739</v>
      </c>
      <c r="E8" s="13">
        <v>70000</v>
      </c>
      <c r="F8" s="13"/>
      <c r="G8" s="3">
        <f t="shared" si="0"/>
        <v>572000</v>
      </c>
      <c r="H8" s="2" t="str">
        <f t="shared" si="1"/>
        <v>CR</v>
      </c>
    </row>
    <row r="9" spans="1:10" x14ac:dyDescent="0.25">
      <c r="A9" s="9">
        <v>45523</v>
      </c>
      <c r="B9" s="34" t="s">
        <v>8</v>
      </c>
      <c r="C9" s="2" t="s">
        <v>8</v>
      </c>
      <c r="D9" s="37" t="s">
        <v>740</v>
      </c>
      <c r="E9" s="13">
        <v>179000</v>
      </c>
      <c r="F9" s="13"/>
      <c r="G9" s="3">
        <f>G8+F9-E9</f>
        <v>393000</v>
      </c>
      <c r="H9" s="2" t="str">
        <f t="shared" si="1"/>
        <v>CR</v>
      </c>
    </row>
    <row r="10" spans="1:10" x14ac:dyDescent="0.25">
      <c r="A10" s="9">
        <v>45524</v>
      </c>
      <c r="B10" s="34" t="s">
        <v>10</v>
      </c>
      <c r="C10" s="2" t="s">
        <v>10</v>
      </c>
      <c r="D10" s="36" t="s">
        <v>741</v>
      </c>
      <c r="E10" s="13"/>
      <c r="F10" s="13">
        <v>12000</v>
      </c>
      <c r="G10" s="3">
        <f t="shared" si="0"/>
        <v>405000</v>
      </c>
      <c r="H10" s="2" t="str">
        <f t="shared" si="1"/>
        <v>CR</v>
      </c>
    </row>
    <row r="11" spans="1:10" x14ac:dyDescent="0.25">
      <c r="A11" s="9">
        <v>45537</v>
      </c>
      <c r="B11" s="34" t="s">
        <v>8</v>
      </c>
      <c r="C11" s="26" t="s">
        <v>8</v>
      </c>
      <c r="D11" s="37" t="s">
        <v>740</v>
      </c>
      <c r="E11" s="13">
        <v>65000</v>
      </c>
      <c r="F11" s="13"/>
      <c r="G11" s="3">
        <f t="shared" si="0"/>
        <v>340000</v>
      </c>
      <c r="H11" s="2" t="str">
        <f t="shared" si="1"/>
        <v>CR</v>
      </c>
    </row>
    <row r="12" spans="1:10" x14ac:dyDescent="0.25">
      <c r="A12" s="9">
        <v>45544</v>
      </c>
      <c r="B12" s="34" t="s">
        <v>8</v>
      </c>
      <c r="C12" s="26" t="s">
        <v>8</v>
      </c>
      <c r="D12" s="37" t="s">
        <v>740</v>
      </c>
      <c r="E12" s="13">
        <v>53000</v>
      </c>
      <c r="F12" s="13"/>
      <c r="G12" s="3">
        <f t="shared" si="0"/>
        <v>287000</v>
      </c>
      <c r="H12" s="2" t="str">
        <f t="shared" si="1"/>
        <v>CR</v>
      </c>
    </row>
    <row r="13" spans="1:10" x14ac:dyDescent="0.25">
      <c r="A13" s="9">
        <v>45558</v>
      </c>
      <c r="B13" s="34" t="s">
        <v>8</v>
      </c>
      <c r="C13" s="26" t="s">
        <v>8</v>
      </c>
      <c r="D13" s="37" t="s">
        <v>740</v>
      </c>
      <c r="E13" s="13">
        <v>44000</v>
      </c>
      <c r="F13" s="13"/>
      <c r="G13" s="3">
        <f t="shared" si="0"/>
        <v>243000</v>
      </c>
      <c r="H13" s="2" t="str">
        <f t="shared" si="1"/>
        <v>CR</v>
      </c>
    </row>
    <row r="14" spans="1:10" x14ac:dyDescent="0.25">
      <c r="A14" s="9">
        <v>45576</v>
      </c>
      <c r="B14" s="34" t="s">
        <v>8</v>
      </c>
      <c r="C14" s="26" t="s">
        <v>8</v>
      </c>
      <c r="D14" s="37" t="s">
        <v>740</v>
      </c>
      <c r="E14" s="13">
        <v>43000</v>
      </c>
      <c r="F14" s="13"/>
      <c r="G14" s="3">
        <f t="shared" si="0"/>
        <v>200000</v>
      </c>
      <c r="H14" s="2" t="str">
        <f t="shared" si="1"/>
        <v>CR</v>
      </c>
    </row>
    <row r="15" spans="1:10" x14ac:dyDescent="0.25">
      <c r="A15" s="9">
        <v>45579</v>
      </c>
      <c r="B15" s="34" t="s">
        <v>10</v>
      </c>
      <c r="C15" s="2" t="s">
        <v>10</v>
      </c>
      <c r="D15" s="37" t="s">
        <v>774</v>
      </c>
      <c r="E15" s="13">
        <v>0</v>
      </c>
      <c r="F15" s="13">
        <v>60000</v>
      </c>
      <c r="G15" s="3">
        <f t="shared" si="0"/>
        <v>260000</v>
      </c>
      <c r="H15" s="2" t="str">
        <f t="shared" si="1"/>
        <v>CR</v>
      </c>
    </row>
    <row r="16" spans="1:10" x14ac:dyDescent="0.25">
      <c r="A16" s="9">
        <v>45584</v>
      </c>
      <c r="B16" s="34" t="s">
        <v>10</v>
      </c>
      <c r="C16" s="2" t="s">
        <v>10</v>
      </c>
      <c r="D16" s="37"/>
      <c r="E16" s="13"/>
      <c r="F16" s="13"/>
      <c r="G16" s="3">
        <f>G15+F16-E16</f>
        <v>260000</v>
      </c>
      <c r="H16" s="2" t="str">
        <f t="shared" si="1"/>
        <v>CR</v>
      </c>
    </row>
    <row r="17" spans="1:8" x14ac:dyDescent="0.25">
      <c r="A17" s="9">
        <v>45587</v>
      </c>
      <c r="B17" s="34" t="s">
        <v>8</v>
      </c>
      <c r="C17" s="2" t="s">
        <v>8</v>
      </c>
      <c r="D17" s="37" t="s">
        <v>740</v>
      </c>
      <c r="E17" s="13">
        <v>47000</v>
      </c>
      <c r="F17" s="13"/>
      <c r="G17" s="3">
        <f t="shared" si="0"/>
        <v>213000</v>
      </c>
      <c r="H17" s="2" t="str">
        <f t="shared" si="1"/>
        <v>CR</v>
      </c>
    </row>
    <row r="18" spans="1:8" x14ac:dyDescent="0.25">
      <c r="A18" s="9">
        <v>45607</v>
      </c>
      <c r="B18" s="34" t="s">
        <v>8</v>
      </c>
      <c r="C18" s="2" t="s">
        <v>8</v>
      </c>
      <c r="D18" s="37" t="s">
        <v>740</v>
      </c>
      <c r="E18" s="13">
        <v>60000</v>
      </c>
      <c r="F18" s="13"/>
      <c r="G18" s="3">
        <f t="shared" si="0"/>
        <v>153000</v>
      </c>
      <c r="H18" s="2" t="str">
        <f t="shared" si="1"/>
        <v>CR</v>
      </c>
    </row>
    <row r="19" spans="1:8" x14ac:dyDescent="0.25">
      <c r="A19" s="9">
        <v>45611</v>
      </c>
      <c r="B19" s="34" t="s">
        <v>8</v>
      </c>
      <c r="C19" s="2" t="s">
        <v>8</v>
      </c>
      <c r="D19" s="37" t="s">
        <v>740</v>
      </c>
      <c r="E19" s="13">
        <v>12000</v>
      </c>
      <c r="F19" s="13"/>
      <c r="G19" s="3">
        <f t="shared" si="0"/>
        <v>141000</v>
      </c>
      <c r="H19" s="2" t="str">
        <f t="shared" si="1"/>
        <v>CR</v>
      </c>
    </row>
    <row r="20" spans="1:8" x14ac:dyDescent="0.25">
      <c r="A20" s="9">
        <v>45707</v>
      </c>
      <c r="B20" s="34" t="s">
        <v>8</v>
      </c>
      <c r="C20" s="2" t="s">
        <v>8</v>
      </c>
      <c r="D20" s="37" t="s">
        <v>740</v>
      </c>
      <c r="E20" s="13">
        <v>29500</v>
      </c>
      <c r="F20" s="13"/>
      <c r="G20" s="3">
        <f t="shared" si="0"/>
        <v>111500</v>
      </c>
      <c r="H20" s="2" t="str">
        <f t="shared" si="1"/>
        <v>CR</v>
      </c>
    </row>
    <row r="21" spans="1:8" x14ac:dyDescent="0.25">
      <c r="A21" s="9"/>
      <c r="B21" s="34"/>
      <c r="C21" s="2"/>
      <c r="D21" s="37"/>
      <c r="E21" s="13"/>
      <c r="F21" s="13"/>
      <c r="G21" s="3">
        <f t="shared" si="0"/>
        <v>111500</v>
      </c>
      <c r="H21" s="2" t="str">
        <f t="shared" si="1"/>
        <v>CR</v>
      </c>
    </row>
    <row r="22" spans="1:8" x14ac:dyDescent="0.25">
      <c r="A22" s="9"/>
      <c r="B22" s="34"/>
      <c r="C22" s="2"/>
      <c r="D22" s="37"/>
      <c r="E22" s="13"/>
      <c r="F22" s="13"/>
      <c r="G22" s="3">
        <f t="shared" si="0"/>
        <v>111500</v>
      </c>
      <c r="H22" s="2" t="str">
        <f t="shared" si="1"/>
        <v>CR</v>
      </c>
    </row>
    <row r="23" spans="1:8" x14ac:dyDescent="0.25">
      <c r="A23" s="9"/>
      <c r="B23" s="34"/>
      <c r="C23" s="2"/>
      <c r="D23" s="36"/>
      <c r="E23" s="13"/>
      <c r="F23" s="13"/>
      <c r="G23" s="3">
        <f t="shared" si="0"/>
        <v>111500</v>
      </c>
      <c r="H23" s="2" t="str">
        <f t="shared" si="1"/>
        <v>CR</v>
      </c>
    </row>
    <row r="24" spans="1:8" x14ac:dyDescent="0.25">
      <c r="A24" s="9"/>
      <c r="B24" s="34"/>
      <c r="C24" s="2"/>
      <c r="D24" s="37"/>
      <c r="E24" s="13"/>
      <c r="F24" s="13"/>
      <c r="G24" s="3">
        <f t="shared" si="0"/>
        <v>111500</v>
      </c>
      <c r="H24" s="2" t="str">
        <f t="shared" si="1"/>
        <v>CR</v>
      </c>
    </row>
    <row r="25" spans="1:8" x14ac:dyDescent="0.25">
      <c r="A25" s="9"/>
      <c r="B25" s="34"/>
      <c r="C25" s="2"/>
      <c r="D25" s="36"/>
      <c r="E25" s="13"/>
      <c r="F25" s="13"/>
      <c r="G25" s="3">
        <f t="shared" si="0"/>
        <v>111500</v>
      </c>
      <c r="H25" s="2" t="str">
        <f t="shared" si="1"/>
        <v>CR</v>
      </c>
    </row>
    <row r="26" spans="1:8" x14ac:dyDescent="0.25">
      <c r="A26" s="9"/>
      <c r="B26" s="34"/>
      <c r="C26" s="26"/>
      <c r="D26" s="36"/>
      <c r="E26" s="13"/>
      <c r="F26" s="13"/>
      <c r="G26" s="3">
        <f t="shared" si="0"/>
        <v>111500</v>
      </c>
      <c r="H26" s="2" t="str">
        <f t="shared" si="1"/>
        <v>CR</v>
      </c>
    </row>
    <row r="27" spans="1:8" x14ac:dyDescent="0.25">
      <c r="A27" s="9"/>
      <c r="B27" s="34"/>
      <c r="C27" s="2"/>
      <c r="D27" s="36"/>
      <c r="E27" s="13"/>
      <c r="F27" s="13"/>
      <c r="G27" s="3">
        <f t="shared" si="0"/>
        <v>111500</v>
      </c>
      <c r="H27" s="2" t="str">
        <f t="shared" si="1"/>
        <v>CR</v>
      </c>
    </row>
    <row r="28" spans="1:8" x14ac:dyDescent="0.25">
      <c r="A28" s="9"/>
      <c r="B28" s="34"/>
      <c r="C28" s="2"/>
      <c r="D28" s="36"/>
      <c r="E28" s="13"/>
      <c r="F28" s="13"/>
      <c r="G28" s="3">
        <f>G27+F28-E28</f>
        <v>111500</v>
      </c>
      <c r="H28" s="2" t="str">
        <f t="shared" si="1"/>
        <v>CR</v>
      </c>
    </row>
    <row r="29" spans="1:8" x14ac:dyDescent="0.25">
      <c r="A29" s="9"/>
      <c r="B29" s="34"/>
      <c r="C29" s="2"/>
      <c r="D29" s="36"/>
      <c r="E29" s="13"/>
      <c r="F29" s="13"/>
      <c r="G29" s="3">
        <f t="shared" si="0"/>
        <v>111500</v>
      </c>
      <c r="H29" s="2" t="str">
        <f t="shared" si="1"/>
        <v>CR</v>
      </c>
    </row>
    <row r="30" spans="1:8" x14ac:dyDescent="0.25">
      <c r="A30" s="9"/>
      <c r="B30" s="26"/>
      <c r="C30" s="26"/>
      <c r="D30" s="36"/>
      <c r="E30" s="13"/>
      <c r="F30" s="13"/>
      <c r="G30" s="3">
        <f t="shared" si="0"/>
        <v>111500</v>
      </c>
      <c r="H30" s="2" t="str">
        <f t="shared" si="1"/>
        <v>CR</v>
      </c>
    </row>
    <row r="31" spans="1:8" x14ac:dyDescent="0.25">
      <c r="A31" s="9"/>
      <c r="B31" s="26"/>
      <c r="C31" s="2"/>
      <c r="D31" s="36"/>
      <c r="E31" s="13"/>
      <c r="F31" s="13"/>
      <c r="G31" s="3">
        <f t="shared" si="0"/>
        <v>111500</v>
      </c>
      <c r="H31" s="2" t="str">
        <f t="shared" si="1"/>
        <v>CR</v>
      </c>
    </row>
    <row r="32" spans="1:8" x14ac:dyDescent="0.25">
      <c r="A32" s="9"/>
      <c r="B32" s="34"/>
      <c r="C32" s="26"/>
      <c r="D32" s="36"/>
      <c r="E32" s="13"/>
      <c r="F32" s="13"/>
      <c r="G32" s="3">
        <f t="shared" si="0"/>
        <v>111500</v>
      </c>
      <c r="H32" s="2" t="str">
        <f t="shared" si="1"/>
        <v>CR</v>
      </c>
    </row>
    <row r="33" spans="1:8" x14ac:dyDescent="0.25">
      <c r="A33" s="9"/>
      <c r="B33" s="34"/>
      <c r="C33" s="2"/>
      <c r="D33" s="36"/>
      <c r="E33" s="13"/>
      <c r="F33" s="13"/>
      <c r="G33" s="3">
        <f t="shared" si="0"/>
        <v>111500</v>
      </c>
      <c r="H33" s="2" t="str">
        <f t="shared" si="1"/>
        <v>CR</v>
      </c>
    </row>
    <row r="34" spans="1:8" x14ac:dyDescent="0.25">
      <c r="A34" s="9"/>
      <c r="B34" s="26"/>
      <c r="C34" s="26"/>
      <c r="D34" s="36"/>
      <c r="E34" s="13"/>
      <c r="F34" s="13"/>
      <c r="G34" s="3">
        <f t="shared" si="0"/>
        <v>111500</v>
      </c>
      <c r="H34" s="2" t="str">
        <f t="shared" si="1"/>
        <v>CR</v>
      </c>
    </row>
    <row r="35" spans="1:8" x14ac:dyDescent="0.25">
      <c r="A35" s="9"/>
      <c r="B35" s="34"/>
      <c r="C35" s="2"/>
      <c r="D35" s="36"/>
      <c r="E35" s="13"/>
      <c r="F35" s="13"/>
      <c r="G35" s="3">
        <f t="shared" si="0"/>
        <v>111500</v>
      </c>
      <c r="H35" s="2" t="str">
        <f t="shared" si="1"/>
        <v>CR</v>
      </c>
    </row>
    <row r="36" spans="1:8" ht="15.75" x14ac:dyDescent="0.25">
      <c r="A36" s="10"/>
      <c r="B36" s="4"/>
      <c r="C36" s="4"/>
      <c r="D36" s="4" t="s">
        <v>9</v>
      </c>
      <c r="E36" s="5">
        <f>SUM(E6:E35)</f>
        <v>630500</v>
      </c>
      <c r="F36" s="5">
        <f>SUM(F6:F35)</f>
        <v>131000</v>
      </c>
      <c r="G36" s="35">
        <f>G5+F36-E36</f>
        <v>111500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hyperlinks>
    <hyperlink ref="J1" location="'PAYABLES-2024'!A1" display="PAYABLE HOME" xr:uid="{245524AF-7763-459D-8CC4-97C963600C7D}"/>
  </hyperlink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5758-6A00-4D25-9E1A-2F2AA93BB679}">
  <dimension ref="A1:J36"/>
  <sheetViews>
    <sheetView topLeftCell="A19" workbookViewId="0">
      <selection activeCell="B22" sqref="B22"/>
    </sheetView>
  </sheetViews>
  <sheetFormatPr defaultRowHeight="15" x14ac:dyDescent="0.25"/>
  <cols>
    <col min="1" max="1" width="14.7109375" customWidth="1"/>
    <col min="2" max="2" width="14.140625" customWidth="1"/>
    <col min="3" max="3" width="15.28515625" customWidth="1"/>
    <col min="4" max="4" width="57.85546875" customWidth="1"/>
    <col min="6" max="6" width="12.140625" customWidth="1"/>
    <col min="7" max="7" width="14.140625" customWidth="1"/>
    <col min="10" max="10" width="14.7109375" bestFit="1" customWidth="1"/>
  </cols>
  <sheetData>
    <row r="1" spans="1:10" ht="18.75" x14ac:dyDescent="0.3">
      <c r="A1" s="95" t="s">
        <v>0</v>
      </c>
      <c r="B1" s="95"/>
      <c r="C1" s="95"/>
      <c r="D1" s="95"/>
      <c r="E1" s="95"/>
      <c r="F1" s="95"/>
      <c r="G1" s="95"/>
      <c r="H1" s="95"/>
      <c r="J1" s="42" t="s">
        <v>670</v>
      </c>
    </row>
    <row r="2" spans="1:10" ht="15.75" x14ac:dyDescent="0.25">
      <c r="A2" s="96" t="s">
        <v>598</v>
      </c>
      <c r="B2" s="96"/>
      <c r="C2" s="96"/>
      <c r="D2" s="96"/>
      <c r="E2" s="96"/>
      <c r="F2" s="96"/>
      <c r="G2" s="96"/>
      <c r="H2" s="96"/>
    </row>
    <row r="3" spans="1:10" x14ac:dyDescent="0.25">
      <c r="A3" s="97" t="s">
        <v>1130</v>
      </c>
      <c r="B3" s="97"/>
      <c r="C3" s="97"/>
      <c r="D3" s="97"/>
      <c r="E3" s="97"/>
      <c r="F3" s="97"/>
      <c r="G3" s="97"/>
      <c r="H3" s="97"/>
    </row>
    <row r="4" spans="1:10" x14ac:dyDescent="0.25">
      <c r="A4" s="45" t="s">
        <v>1</v>
      </c>
      <c r="B4" s="46" t="s">
        <v>2</v>
      </c>
      <c r="C4" s="46" t="s">
        <v>3</v>
      </c>
      <c r="D4" s="46" t="s">
        <v>4</v>
      </c>
      <c r="E4" s="91" t="s">
        <v>5</v>
      </c>
      <c r="F4" s="91" t="s">
        <v>6</v>
      </c>
      <c r="G4" s="99" t="s">
        <v>7</v>
      </c>
      <c r="H4" s="99"/>
    </row>
    <row r="5" spans="1:10" x14ac:dyDescent="0.25">
      <c r="A5" s="89">
        <v>46078</v>
      </c>
      <c r="B5" s="34" t="s">
        <v>10</v>
      </c>
      <c r="C5" s="34" t="s">
        <v>1133</v>
      </c>
      <c r="D5" s="2" t="s">
        <v>1131</v>
      </c>
      <c r="E5" s="3"/>
      <c r="F5" s="3"/>
      <c r="G5" s="3">
        <v>502000</v>
      </c>
      <c r="H5" s="2"/>
    </row>
    <row r="6" spans="1:10" x14ac:dyDescent="0.25">
      <c r="A6" s="9">
        <v>46110</v>
      </c>
      <c r="B6" s="34" t="s">
        <v>8</v>
      </c>
      <c r="C6" s="34" t="s">
        <v>585</v>
      </c>
      <c r="D6" s="2" t="s">
        <v>1132</v>
      </c>
      <c r="E6" s="13">
        <v>90000</v>
      </c>
      <c r="F6" s="13"/>
      <c r="G6" s="3">
        <f>G5+F6-E6</f>
        <v>412000</v>
      </c>
      <c r="H6" s="2" t="str">
        <f>IF(G6=0,"NIL",IF(G6&gt;0,"CR","DR"))</f>
        <v>CR</v>
      </c>
    </row>
    <row r="7" spans="1:10" x14ac:dyDescent="0.25">
      <c r="A7" s="9">
        <v>46110</v>
      </c>
      <c r="B7" s="26" t="s">
        <v>10</v>
      </c>
      <c r="C7" s="26" t="s">
        <v>1134</v>
      </c>
      <c r="D7" s="37" t="s">
        <v>1135</v>
      </c>
      <c r="E7" s="13"/>
      <c r="F7" s="13">
        <v>10450</v>
      </c>
      <c r="G7" s="3">
        <f t="shared" ref="G7:G35" si="0">G6+F7-E7</f>
        <v>422450</v>
      </c>
      <c r="H7" s="2" t="str">
        <f t="shared" ref="H7:H36" si="1">IF(G7=0,"NIL",IF(G7&gt;0,"CR","DR"))</f>
        <v>CR</v>
      </c>
    </row>
    <row r="8" spans="1:10" x14ac:dyDescent="0.25">
      <c r="A8" s="9">
        <v>46113</v>
      </c>
      <c r="B8" s="26" t="s">
        <v>10</v>
      </c>
      <c r="C8" s="2" t="s">
        <v>1136</v>
      </c>
      <c r="D8" s="37" t="s">
        <v>1137</v>
      </c>
      <c r="E8" s="13"/>
      <c r="F8" s="13">
        <v>65000</v>
      </c>
      <c r="G8" s="3">
        <f t="shared" si="0"/>
        <v>487450</v>
      </c>
      <c r="H8" s="2" t="str">
        <f t="shared" si="1"/>
        <v>CR</v>
      </c>
    </row>
    <row r="9" spans="1:10" x14ac:dyDescent="0.25">
      <c r="A9" s="9">
        <v>46113</v>
      </c>
      <c r="B9" s="26" t="s">
        <v>10</v>
      </c>
      <c r="C9" s="2" t="s">
        <v>1136</v>
      </c>
      <c r="D9" s="37" t="s">
        <v>1138</v>
      </c>
      <c r="E9" s="13"/>
      <c r="F9" s="13">
        <v>35000</v>
      </c>
      <c r="G9" s="3">
        <f>G8+F9-E9</f>
        <v>522450</v>
      </c>
      <c r="H9" s="2" t="str">
        <f t="shared" si="1"/>
        <v>CR</v>
      </c>
    </row>
    <row r="10" spans="1:10" x14ac:dyDescent="0.25">
      <c r="A10" s="9">
        <v>46119</v>
      </c>
      <c r="B10" s="26" t="s">
        <v>10</v>
      </c>
      <c r="C10" s="2" t="s">
        <v>1139</v>
      </c>
      <c r="D10" s="36" t="s">
        <v>1140</v>
      </c>
      <c r="E10" s="13"/>
      <c r="F10" s="13">
        <v>60200</v>
      </c>
      <c r="G10" s="3">
        <f t="shared" si="0"/>
        <v>582650</v>
      </c>
      <c r="H10" s="2" t="str">
        <f t="shared" si="1"/>
        <v>CR</v>
      </c>
    </row>
    <row r="11" spans="1:10" x14ac:dyDescent="0.25">
      <c r="A11" s="9">
        <v>46119</v>
      </c>
      <c r="B11" s="26" t="s">
        <v>10</v>
      </c>
      <c r="C11" s="2" t="s">
        <v>1136</v>
      </c>
      <c r="D11" s="37" t="s">
        <v>1141</v>
      </c>
      <c r="E11" s="13"/>
      <c r="F11" s="13">
        <v>45000</v>
      </c>
      <c r="G11" s="3">
        <f t="shared" si="0"/>
        <v>627650</v>
      </c>
      <c r="H11" s="2" t="str">
        <f t="shared" si="1"/>
        <v>CR</v>
      </c>
    </row>
    <row r="12" spans="1:10" x14ac:dyDescent="0.25">
      <c r="A12" s="9">
        <v>46119</v>
      </c>
      <c r="B12" s="34" t="s">
        <v>8</v>
      </c>
      <c r="C12" s="26" t="s">
        <v>585</v>
      </c>
      <c r="D12" s="37" t="s">
        <v>1142</v>
      </c>
      <c r="E12" s="13">
        <v>90000</v>
      </c>
      <c r="F12" s="13"/>
      <c r="G12" s="3">
        <f t="shared" si="0"/>
        <v>537650</v>
      </c>
      <c r="H12" s="2" t="str">
        <f t="shared" si="1"/>
        <v>CR</v>
      </c>
    </row>
    <row r="13" spans="1:10" x14ac:dyDescent="0.25">
      <c r="A13" s="9">
        <v>45389</v>
      </c>
      <c r="B13" s="34" t="s">
        <v>8</v>
      </c>
      <c r="C13" s="26" t="s">
        <v>585</v>
      </c>
      <c r="D13" s="37" t="s">
        <v>1142</v>
      </c>
      <c r="E13" s="13">
        <v>50000</v>
      </c>
      <c r="F13" s="13"/>
      <c r="G13" s="3">
        <f t="shared" si="0"/>
        <v>487650</v>
      </c>
      <c r="H13" s="2" t="str">
        <f t="shared" si="1"/>
        <v>CR</v>
      </c>
    </row>
    <row r="14" spans="1:10" x14ac:dyDescent="0.25">
      <c r="A14" s="9">
        <v>46121</v>
      </c>
      <c r="B14" s="26" t="s">
        <v>10</v>
      </c>
      <c r="C14" s="2" t="s">
        <v>1136</v>
      </c>
      <c r="D14" s="37" t="s">
        <v>1148</v>
      </c>
      <c r="E14" s="13"/>
      <c r="F14" s="13">
        <v>44000</v>
      </c>
      <c r="G14" s="3">
        <f t="shared" si="0"/>
        <v>531650</v>
      </c>
      <c r="H14" s="2" t="str">
        <f t="shared" si="1"/>
        <v>CR</v>
      </c>
    </row>
    <row r="15" spans="1:10" x14ac:dyDescent="0.25">
      <c r="A15" s="9">
        <v>46121</v>
      </c>
      <c r="B15" s="26" t="s">
        <v>10</v>
      </c>
      <c r="C15" s="2" t="s">
        <v>1136</v>
      </c>
      <c r="D15" s="37" t="s">
        <v>1149</v>
      </c>
      <c r="E15" s="13"/>
      <c r="F15" s="13">
        <v>35000</v>
      </c>
      <c r="G15" s="3">
        <f t="shared" si="0"/>
        <v>566650</v>
      </c>
      <c r="H15" s="2" t="str">
        <f t="shared" si="1"/>
        <v>CR</v>
      </c>
    </row>
    <row r="16" spans="1:10" x14ac:dyDescent="0.25">
      <c r="A16" s="9">
        <v>46121</v>
      </c>
      <c r="B16" s="26" t="s">
        <v>10</v>
      </c>
      <c r="C16" s="2" t="s">
        <v>1136</v>
      </c>
      <c r="D16" s="37" t="s">
        <v>1150</v>
      </c>
      <c r="E16" s="13"/>
      <c r="F16" s="13">
        <v>450</v>
      </c>
      <c r="G16" s="3">
        <f>G15+F16-E16</f>
        <v>567100</v>
      </c>
      <c r="H16" s="2" t="str">
        <f t="shared" si="1"/>
        <v>CR</v>
      </c>
    </row>
    <row r="17" spans="1:8" x14ac:dyDescent="0.25">
      <c r="A17" s="9">
        <v>46121</v>
      </c>
      <c r="B17" s="26" t="s">
        <v>10</v>
      </c>
      <c r="C17" s="2" t="s">
        <v>1136</v>
      </c>
      <c r="D17" s="37" t="s">
        <v>1151</v>
      </c>
      <c r="E17" s="13"/>
      <c r="F17" s="13">
        <v>1350</v>
      </c>
      <c r="G17" s="3">
        <f t="shared" si="0"/>
        <v>568450</v>
      </c>
      <c r="H17" s="2" t="str">
        <f t="shared" si="1"/>
        <v>CR</v>
      </c>
    </row>
    <row r="18" spans="1:8" x14ac:dyDescent="0.25">
      <c r="A18" s="9">
        <v>46128</v>
      </c>
      <c r="B18" s="26" t="s">
        <v>10</v>
      </c>
      <c r="C18" s="2" t="s">
        <v>1136</v>
      </c>
      <c r="D18" s="37" t="s">
        <v>1152</v>
      </c>
      <c r="E18" s="13"/>
      <c r="F18" s="13">
        <v>69000</v>
      </c>
      <c r="G18" s="3">
        <f t="shared" si="0"/>
        <v>637450</v>
      </c>
      <c r="H18" s="2" t="str">
        <f t="shared" si="1"/>
        <v>CR</v>
      </c>
    </row>
    <row r="19" spans="1:8" x14ac:dyDescent="0.25">
      <c r="A19" s="9">
        <v>46128</v>
      </c>
      <c r="B19" s="26" t="s">
        <v>10</v>
      </c>
      <c r="C19" s="2" t="s">
        <v>1136</v>
      </c>
      <c r="D19" s="37" t="s">
        <v>1152</v>
      </c>
      <c r="E19" s="13"/>
      <c r="F19" s="13">
        <v>69000</v>
      </c>
      <c r="G19" s="3">
        <f t="shared" si="0"/>
        <v>706450</v>
      </c>
      <c r="H19" s="2" t="str">
        <f t="shared" si="1"/>
        <v>CR</v>
      </c>
    </row>
    <row r="20" spans="1:8" x14ac:dyDescent="0.25">
      <c r="A20" s="9">
        <v>46128</v>
      </c>
      <c r="B20" s="26" t="s">
        <v>10</v>
      </c>
      <c r="C20" s="2" t="s">
        <v>1139</v>
      </c>
      <c r="D20" s="37" t="s">
        <v>1153</v>
      </c>
      <c r="E20" s="13"/>
      <c r="F20" s="13">
        <v>4400</v>
      </c>
      <c r="G20" s="3">
        <f t="shared" si="0"/>
        <v>710850</v>
      </c>
      <c r="H20" s="2" t="str">
        <f t="shared" si="1"/>
        <v>CR</v>
      </c>
    </row>
    <row r="21" spans="1:8" x14ac:dyDescent="0.25">
      <c r="A21" s="9">
        <v>46132</v>
      </c>
      <c r="B21" s="26" t="s">
        <v>10</v>
      </c>
      <c r="C21" s="2" t="s">
        <v>1136</v>
      </c>
      <c r="D21" s="37" t="s">
        <v>1154</v>
      </c>
      <c r="E21" s="13"/>
      <c r="F21" s="13">
        <v>74000</v>
      </c>
      <c r="G21" s="3">
        <f t="shared" si="0"/>
        <v>784850</v>
      </c>
      <c r="H21" s="2" t="str">
        <f t="shared" si="1"/>
        <v>CR</v>
      </c>
    </row>
    <row r="22" spans="1:8" x14ac:dyDescent="0.25">
      <c r="A22" s="9">
        <v>46132</v>
      </c>
      <c r="B22" s="26" t="s">
        <v>10</v>
      </c>
      <c r="C22" s="2" t="s">
        <v>1136</v>
      </c>
      <c r="D22" s="37" t="s">
        <v>1154</v>
      </c>
      <c r="E22" s="13"/>
      <c r="F22" s="13">
        <v>74000</v>
      </c>
      <c r="G22" s="3">
        <f t="shared" si="0"/>
        <v>858850</v>
      </c>
      <c r="H22" s="2" t="str">
        <f t="shared" si="1"/>
        <v>CR</v>
      </c>
    </row>
    <row r="23" spans="1:8" x14ac:dyDescent="0.25">
      <c r="A23" s="9">
        <v>46132</v>
      </c>
      <c r="B23" s="26" t="s">
        <v>10</v>
      </c>
      <c r="C23" s="2" t="s">
        <v>1155</v>
      </c>
      <c r="D23" s="36" t="s">
        <v>1156</v>
      </c>
      <c r="E23" s="13"/>
      <c r="F23" s="13">
        <v>8000</v>
      </c>
      <c r="G23" s="3">
        <f t="shared" si="0"/>
        <v>866850</v>
      </c>
      <c r="H23" s="2" t="str">
        <f t="shared" si="1"/>
        <v>CR</v>
      </c>
    </row>
    <row r="24" spans="1:8" x14ac:dyDescent="0.25">
      <c r="A24" s="9">
        <v>46137</v>
      </c>
      <c r="B24" s="34" t="s">
        <v>859</v>
      </c>
      <c r="C24" s="2" t="s">
        <v>1136</v>
      </c>
      <c r="D24" s="37" t="s">
        <v>1158</v>
      </c>
      <c r="E24" s="13">
        <v>44000</v>
      </c>
      <c r="F24" s="13"/>
      <c r="G24" s="3">
        <f t="shared" si="0"/>
        <v>822850</v>
      </c>
      <c r="H24" s="2" t="str">
        <f t="shared" si="1"/>
        <v>CR</v>
      </c>
    </row>
    <row r="25" spans="1:8" x14ac:dyDescent="0.25">
      <c r="A25" s="9">
        <v>46137</v>
      </c>
      <c r="B25" s="34" t="s">
        <v>859</v>
      </c>
      <c r="C25" s="2" t="s">
        <v>1157</v>
      </c>
      <c r="D25" s="37" t="s">
        <v>1158</v>
      </c>
      <c r="E25" s="13">
        <v>45000</v>
      </c>
      <c r="F25" s="13"/>
      <c r="G25" s="3">
        <f t="shared" si="0"/>
        <v>777850</v>
      </c>
      <c r="H25" s="2" t="str">
        <f t="shared" si="1"/>
        <v>CR</v>
      </c>
    </row>
    <row r="26" spans="1:8" x14ac:dyDescent="0.25">
      <c r="A26" s="9">
        <v>46141</v>
      </c>
      <c r="B26" s="34" t="s">
        <v>859</v>
      </c>
      <c r="C26" s="2" t="s">
        <v>1157</v>
      </c>
      <c r="D26" s="36" t="s">
        <v>1159</v>
      </c>
      <c r="E26" s="13">
        <v>60000</v>
      </c>
      <c r="F26" s="13"/>
      <c r="G26" s="3">
        <f t="shared" si="0"/>
        <v>717850</v>
      </c>
      <c r="H26" s="2" t="str">
        <f t="shared" si="1"/>
        <v>CR</v>
      </c>
    </row>
    <row r="27" spans="1:8" x14ac:dyDescent="0.25">
      <c r="A27" s="9">
        <v>46136</v>
      </c>
      <c r="B27" s="34" t="s">
        <v>8</v>
      </c>
      <c r="C27" s="2" t="s">
        <v>585</v>
      </c>
      <c r="D27" s="37" t="s">
        <v>1142</v>
      </c>
      <c r="E27" s="13">
        <v>200000</v>
      </c>
      <c r="F27" s="13"/>
      <c r="G27" s="3">
        <f t="shared" si="0"/>
        <v>517850</v>
      </c>
      <c r="H27" s="2" t="str">
        <f t="shared" si="1"/>
        <v>CR</v>
      </c>
    </row>
    <row r="28" spans="1:8" x14ac:dyDescent="0.25">
      <c r="A28" s="9">
        <v>46138</v>
      </c>
      <c r="B28" s="26" t="s">
        <v>10</v>
      </c>
      <c r="C28" s="2" t="s">
        <v>1136</v>
      </c>
      <c r="D28" s="36" t="s">
        <v>1167</v>
      </c>
      <c r="E28" s="13"/>
      <c r="F28" s="13">
        <v>44000</v>
      </c>
      <c r="G28" s="3">
        <f>G27+F28-E28</f>
        <v>561850</v>
      </c>
      <c r="H28" s="2" t="str">
        <f t="shared" si="1"/>
        <v>CR</v>
      </c>
    </row>
    <row r="29" spans="1:8" x14ac:dyDescent="0.25">
      <c r="A29" s="9">
        <v>46138</v>
      </c>
      <c r="B29" s="26" t="s">
        <v>10</v>
      </c>
      <c r="C29" s="2" t="s">
        <v>1136</v>
      </c>
      <c r="D29" s="36" t="s">
        <v>1168</v>
      </c>
      <c r="E29" s="13"/>
      <c r="F29" s="13">
        <v>44000</v>
      </c>
      <c r="G29" s="3">
        <f t="shared" si="0"/>
        <v>605850</v>
      </c>
      <c r="H29" s="2" t="str">
        <f t="shared" si="1"/>
        <v>CR</v>
      </c>
    </row>
    <row r="30" spans="1:8" x14ac:dyDescent="0.25">
      <c r="A30" s="9">
        <v>46138</v>
      </c>
      <c r="B30" s="26" t="s">
        <v>10</v>
      </c>
      <c r="C30" s="2" t="s">
        <v>1136</v>
      </c>
      <c r="D30" s="36" t="s">
        <v>1169</v>
      </c>
      <c r="E30" s="13"/>
      <c r="F30" s="13">
        <v>35000</v>
      </c>
      <c r="G30" s="3">
        <f t="shared" si="0"/>
        <v>640850</v>
      </c>
      <c r="H30" s="2" t="str">
        <f t="shared" si="1"/>
        <v>CR</v>
      </c>
    </row>
    <row r="31" spans="1:8" x14ac:dyDescent="0.25">
      <c r="A31" s="9">
        <v>46138</v>
      </c>
      <c r="B31" s="26" t="s">
        <v>10</v>
      </c>
      <c r="C31" s="2" t="s">
        <v>1136</v>
      </c>
      <c r="D31" s="36" t="s">
        <v>1170</v>
      </c>
      <c r="E31" s="13"/>
      <c r="F31" s="13">
        <v>62000</v>
      </c>
      <c r="G31" s="3">
        <f t="shared" si="0"/>
        <v>702850</v>
      </c>
      <c r="H31" s="2" t="str">
        <f t="shared" si="1"/>
        <v>CR</v>
      </c>
    </row>
    <row r="32" spans="1:8" x14ac:dyDescent="0.25">
      <c r="A32" s="9">
        <v>46138</v>
      </c>
      <c r="B32" s="26" t="s">
        <v>10</v>
      </c>
      <c r="C32" s="2" t="s">
        <v>1136</v>
      </c>
      <c r="D32" s="36" t="s">
        <v>1171</v>
      </c>
      <c r="E32" s="13"/>
      <c r="F32" s="13">
        <v>47000</v>
      </c>
      <c r="G32" s="3">
        <f t="shared" si="0"/>
        <v>749850</v>
      </c>
      <c r="H32" s="2" t="str">
        <f t="shared" si="1"/>
        <v>CR</v>
      </c>
    </row>
    <row r="33" spans="1:8" x14ac:dyDescent="0.25">
      <c r="A33" s="9">
        <v>46138</v>
      </c>
      <c r="B33" s="26" t="s">
        <v>10</v>
      </c>
      <c r="C33" s="2" t="s">
        <v>1155</v>
      </c>
      <c r="D33" s="36" t="s">
        <v>1172</v>
      </c>
      <c r="E33" s="13"/>
      <c r="F33" s="13">
        <v>6000</v>
      </c>
      <c r="G33" s="3">
        <f t="shared" si="0"/>
        <v>755850</v>
      </c>
      <c r="H33" s="2" t="str">
        <f t="shared" si="1"/>
        <v>CR</v>
      </c>
    </row>
    <row r="34" spans="1:8" x14ac:dyDescent="0.25">
      <c r="A34" s="9">
        <v>46138</v>
      </c>
      <c r="B34" s="26" t="s">
        <v>10</v>
      </c>
      <c r="C34" s="12" t="s">
        <v>1174</v>
      </c>
      <c r="D34" s="36" t="s">
        <v>1173</v>
      </c>
      <c r="E34" s="13"/>
      <c r="F34" s="13">
        <v>4400</v>
      </c>
      <c r="G34" s="3">
        <f t="shared" si="0"/>
        <v>760250</v>
      </c>
      <c r="H34" s="2" t="str">
        <f t="shared" si="1"/>
        <v>CR</v>
      </c>
    </row>
    <row r="35" spans="1:8" x14ac:dyDescent="0.25">
      <c r="A35" s="9"/>
      <c r="B35" s="34"/>
      <c r="C35" s="2"/>
      <c r="D35" s="36"/>
      <c r="E35" s="13"/>
      <c r="F35" s="13"/>
      <c r="G35" s="3">
        <f t="shared" si="0"/>
        <v>760250</v>
      </c>
      <c r="H35" s="2" t="str">
        <f t="shared" si="1"/>
        <v>CR</v>
      </c>
    </row>
    <row r="36" spans="1:8" ht="15.75" x14ac:dyDescent="0.25">
      <c r="A36" s="10"/>
      <c r="B36" s="4"/>
      <c r="C36" s="4"/>
      <c r="D36" s="4" t="s">
        <v>9</v>
      </c>
      <c r="E36" s="5">
        <f>SUM(E6:E35)</f>
        <v>579000</v>
      </c>
      <c r="F36" s="5">
        <f>SUM(F6:F35)</f>
        <v>837250</v>
      </c>
      <c r="G36" s="35">
        <f>G5+F36-E36</f>
        <v>760250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hyperlinks>
    <hyperlink ref="J1" location="'PAYABLES-2024'!A1" display="PAYABLE HOME" xr:uid="{A651FDDA-CE24-4318-87B9-CF0326DF4334}"/>
  </hyperlink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D084-D442-49BD-B8CA-1EBF97BC0D8A}">
  <dimension ref="A1:J36"/>
  <sheetViews>
    <sheetView tabSelected="1" topLeftCell="A13" workbookViewId="0">
      <selection activeCell="E27" sqref="E27"/>
    </sheetView>
  </sheetViews>
  <sheetFormatPr defaultRowHeight="15" x14ac:dyDescent="0.25"/>
  <cols>
    <col min="1" max="1" width="14.7109375" customWidth="1"/>
    <col min="2" max="2" width="14.140625" customWidth="1"/>
    <col min="3" max="3" width="15.28515625" customWidth="1"/>
    <col min="4" max="4" width="57.85546875" customWidth="1"/>
    <col min="6" max="6" width="12.140625" customWidth="1"/>
    <col min="7" max="7" width="14.140625" customWidth="1"/>
    <col min="10" max="10" width="14.7109375" bestFit="1" customWidth="1"/>
  </cols>
  <sheetData>
    <row r="1" spans="1:10" ht="18.75" x14ac:dyDescent="0.3">
      <c r="A1" s="95" t="s">
        <v>0</v>
      </c>
      <c r="B1" s="95"/>
      <c r="C1" s="95"/>
      <c r="D1" s="95"/>
      <c r="E1" s="95"/>
      <c r="F1" s="95"/>
      <c r="G1" s="95"/>
      <c r="H1" s="95"/>
      <c r="J1" s="42" t="s">
        <v>670</v>
      </c>
    </row>
    <row r="2" spans="1:10" ht="15.75" x14ac:dyDescent="0.25">
      <c r="A2" s="96" t="s">
        <v>598</v>
      </c>
      <c r="B2" s="96"/>
      <c r="C2" s="96"/>
      <c r="D2" s="96"/>
      <c r="E2" s="96"/>
      <c r="F2" s="96"/>
      <c r="G2" s="96"/>
      <c r="H2" s="96"/>
    </row>
    <row r="3" spans="1:10" x14ac:dyDescent="0.25">
      <c r="A3" s="97" t="s">
        <v>1130</v>
      </c>
      <c r="B3" s="97"/>
      <c r="C3" s="97"/>
      <c r="D3" s="97"/>
      <c r="E3" s="97"/>
      <c r="F3" s="97"/>
      <c r="G3" s="97"/>
      <c r="H3" s="97"/>
    </row>
    <row r="4" spans="1:10" x14ac:dyDescent="0.25">
      <c r="A4" s="45" t="s">
        <v>1</v>
      </c>
      <c r="B4" s="46" t="s">
        <v>2</v>
      </c>
      <c r="C4" s="46" t="s">
        <v>3</v>
      </c>
      <c r="D4" s="46" t="s">
        <v>4</v>
      </c>
      <c r="E4" s="47" t="s">
        <v>5</v>
      </c>
      <c r="F4" s="47" t="s">
        <v>6</v>
      </c>
      <c r="G4" s="99" t="s">
        <v>7</v>
      </c>
      <c r="H4" s="99"/>
    </row>
    <row r="5" spans="1:10" x14ac:dyDescent="0.25">
      <c r="A5" s="89"/>
      <c r="B5" s="34"/>
      <c r="C5" s="34"/>
      <c r="D5" s="2"/>
      <c r="E5" s="3"/>
      <c r="F5" s="3"/>
      <c r="G5" s="3">
        <v>760250</v>
      </c>
      <c r="H5" s="2"/>
    </row>
    <row r="6" spans="1:10" x14ac:dyDescent="0.25">
      <c r="A6" s="9">
        <v>46142</v>
      </c>
      <c r="B6" s="34" t="s">
        <v>8</v>
      </c>
      <c r="C6" s="34" t="s">
        <v>585</v>
      </c>
      <c r="D6" s="37" t="s">
        <v>1142</v>
      </c>
      <c r="E6" s="13">
        <v>40000</v>
      </c>
      <c r="F6" s="13"/>
      <c r="G6" s="3">
        <f>G5+F6-E6</f>
        <v>720250</v>
      </c>
      <c r="H6" s="2" t="str">
        <f>IF(G6=0,"NIL",IF(G6&gt;0,"CR","DR"))</f>
        <v>CR</v>
      </c>
    </row>
    <row r="7" spans="1:10" x14ac:dyDescent="0.25">
      <c r="A7" s="9">
        <v>46118</v>
      </c>
      <c r="B7" s="34" t="s">
        <v>859</v>
      </c>
      <c r="C7" s="34" t="s">
        <v>1136</v>
      </c>
      <c r="D7" s="37" t="s">
        <v>1182</v>
      </c>
      <c r="E7" s="13">
        <v>100000</v>
      </c>
      <c r="F7" s="13"/>
      <c r="G7" s="3">
        <f t="shared" ref="G7:G35" si="0">G6+F7-E7</f>
        <v>620250</v>
      </c>
      <c r="H7" s="2" t="str">
        <f t="shared" ref="H7:H36" si="1">IF(G7=0,"NIL",IF(G7&gt;0,"CR","DR"))</f>
        <v>CR</v>
      </c>
    </row>
    <row r="8" spans="1:10" x14ac:dyDescent="0.25">
      <c r="A8" s="9">
        <v>46148</v>
      </c>
      <c r="B8" s="26" t="s">
        <v>10</v>
      </c>
      <c r="C8" s="34" t="s">
        <v>1136</v>
      </c>
      <c r="D8" s="37" t="s">
        <v>1183</v>
      </c>
      <c r="E8" s="13"/>
      <c r="F8" s="13">
        <v>37000</v>
      </c>
      <c r="G8" s="3">
        <f t="shared" si="0"/>
        <v>657250</v>
      </c>
      <c r="H8" s="2" t="str">
        <f t="shared" si="1"/>
        <v>CR</v>
      </c>
    </row>
    <row r="9" spans="1:10" x14ac:dyDescent="0.25">
      <c r="A9" s="9">
        <v>46148</v>
      </c>
      <c r="B9" s="26" t="s">
        <v>10</v>
      </c>
      <c r="C9" s="34" t="s">
        <v>1136</v>
      </c>
      <c r="D9" s="37" t="s">
        <v>1184</v>
      </c>
      <c r="E9" s="13"/>
      <c r="F9" s="13">
        <v>40000</v>
      </c>
      <c r="G9" s="3">
        <f>G8+F9-E9</f>
        <v>697250</v>
      </c>
      <c r="H9" s="2" t="str">
        <f t="shared" si="1"/>
        <v>CR</v>
      </c>
    </row>
    <row r="10" spans="1:10" x14ac:dyDescent="0.25">
      <c r="A10" s="9">
        <v>46153</v>
      </c>
      <c r="B10" s="34" t="s">
        <v>8</v>
      </c>
      <c r="C10" s="34" t="s">
        <v>585</v>
      </c>
      <c r="D10" s="37" t="s">
        <v>1142</v>
      </c>
      <c r="E10" s="13">
        <v>130000</v>
      </c>
      <c r="F10" s="13"/>
      <c r="G10" s="3">
        <f t="shared" si="0"/>
        <v>567250</v>
      </c>
      <c r="H10" s="2" t="str">
        <f t="shared" si="1"/>
        <v>CR</v>
      </c>
    </row>
    <row r="11" spans="1:10" x14ac:dyDescent="0.25">
      <c r="A11" s="9">
        <v>46162</v>
      </c>
      <c r="B11" s="34" t="s">
        <v>8</v>
      </c>
      <c r="C11" s="34" t="s">
        <v>585</v>
      </c>
      <c r="D11" s="37" t="s">
        <v>1142</v>
      </c>
      <c r="E11" s="13">
        <v>65000</v>
      </c>
      <c r="F11" s="13"/>
      <c r="G11" s="3">
        <f t="shared" si="0"/>
        <v>502250</v>
      </c>
      <c r="H11" s="2" t="str">
        <f t="shared" si="1"/>
        <v>CR</v>
      </c>
    </row>
    <row r="12" spans="1:10" x14ac:dyDescent="0.25">
      <c r="A12" s="9">
        <v>46184</v>
      </c>
      <c r="B12" s="34" t="s">
        <v>8</v>
      </c>
      <c r="C12" s="34" t="s">
        <v>585</v>
      </c>
      <c r="D12" s="37" t="s">
        <v>1192</v>
      </c>
      <c r="E12" s="13">
        <v>128000</v>
      </c>
      <c r="F12" s="13"/>
      <c r="G12" s="3">
        <f t="shared" si="0"/>
        <v>374250</v>
      </c>
      <c r="H12" s="2" t="str">
        <f t="shared" si="1"/>
        <v>CR</v>
      </c>
    </row>
    <row r="13" spans="1:10" x14ac:dyDescent="0.25">
      <c r="A13" s="9">
        <v>46185</v>
      </c>
      <c r="B13" s="26" t="s">
        <v>10</v>
      </c>
      <c r="C13" s="34" t="s">
        <v>1136</v>
      </c>
      <c r="D13" s="37" t="s">
        <v>1193</v>
      </c>
      <c r="E13" s="13"/>
      <c r="F13" s="13">
        <v>73000</v>
      </c>
      <c r="G13" s="3">
        <f t="shared" si="0"/>
        <v>447250</v>
      </c>
      <c r="H13" s="2" t="str">
        <f t="shared" si="1"/>
        <v>CR</v>
      </c>
    </row>
    <row r="14" spans="1:10" x14ac:dyDescent="0.25">
      <c r="A14" s="9">
        <v>46185</v>
      </c>
      <c r="B14" s="26" t="s">
        <v>10</v>
      </c>
      <c r="C14" s="34" t="s">
        <v>1136</v>
      </c>
      <c r="D14" s="37" t="s">
        <v>1184</v>
      </c>
      <c r="E14" s="13"/>
      <c r="F14" s="13">
        <v>39000</v>
      </c>
      <c r="G14" s="3">
        <f t="shared" si="0"/>
        <v>486250</v>
      </c>
      <c r="H14" s="2" t="str">
        <f t="shared" si="1"/>
        <v>CR</v>
      </c>
    </row>
    <row r="15" spans="1:10" x14ac:dyDescent="0.25">
      <c r="A15" s="9">
        <v>46185</v>
      </c>
      <c r="B15" s="26" t="s">
        <v>10</v>
      </c>
      <c r="C15" s="34" t="s">
        <v>1136</v>
      </c>
      <c r="D15" s="37" t="s">
        <v>1194</v>
      </c>
      <c r="E15" s="13"/>
      <c r="F15" s="13">
        <v>44000</v>
      </c>
      <c r="G15" s="3">
        <f t="shared" si="0"/>
        <v>530250</v>
      </c>
      <c r="H15" s="2" t="str">
        <f t="shared" si="1"/>
        <v>CR</v>
      </c>
    </row>
    <row r="16" spans="1:10" x14ac:dyDescent="0.25">
      <c r="A16" s="9">
        <v>46175</v>
      </c>
      <c r="B16" s="34" t="s">
        <v>8</v>
      </c>
      <c r="C16" s="34" t="s">
        <v>585</v>
      </c>
      <c r="D16" s="37" t="s">
        <v>1142</v>
      </c>
      <c r="E16" s="13">
        <v>39000</v>
      </c>
      <c r="F16" s="13"/>
      <c r="G16" s="3">
        <f>G15+F16-E16</f>
        <v>491250</v>
      </c>
      <c r="H16" s="2" t="str">
        <f t="shared" si="1"/>
        <v>CR</v>
      </c>
    </row>
    <row r="17" spans="1:8" x14ac:dyDescent="0.25">
      <c r="A17" s="9">
        <v>46207</v>
      </c>
      <c r="B17" s="26" t="s">
        <v>10</v>
      </c>
      <c r="C17" s="34" t="s">
        <v>1136</v>
      </c>
      <c r="D17" s="37" t="s">
        <v>1200</v>
      </c>
      <c r="E17" s="13"/>
      <c r="F17" s="13">
        <v>35000</v>
      </c>
      <c r="G17" s="3">
        <f t="shared" si="0"/>
        <v>526250</v>
      </c>
      <c r="H17" s="2" t="str">
        <f t="shared" si="1"/>
        <v>CR</v>
      </c>
    </row>
    <row r="18" spans="1:8" x14ac:dyDescent="0.25">
      <c r="A18" s="9">
        <v>46207</v>
      </c>
      <c r="B18" s="26" t="s">
        <v>10</v>
      </c>
      <c r="C18" s="34" t="s">
        <v>1136</v>
      </c>
      <c r="D18" s="37" t="s">
        <v>1201</v>
      </c>
      <c r="E18" s="13"/>
      <c r="F18" s="13">
        <v>38000</v>
      </c>
      <c r="G18" s="3">
        <f t="shared" si="0"/>
        <v>564250</v>
      </c>
      <c r="H18" s="2" t="str">
        <f t="shared" si="1"/>
        <v>CR</v>
      </c>
    </row>
    <row r="19" spans="1:8" x14ac:dyDescent="0.25">
      <c r="A19" s="9">
        <v>46207</v>
      </c>
      <c r="B19" s="26" t="s">
        <v>10</v>
      </c>
      <c r="C19" s="34" t="s">
        <v>1136</v>
      </c>
      <c r="D19" s="37" t="s">
        <v>1202</v>
      </c>
      <c r="E19" s="13"/>
      <c r="F19" s="13">
        <v>46000</v>
      </c>
      <c r="G19" s="3">
        <f t="shared" si="0"/>
        <v>610250</v>
      </c>
      <c r="H19" s="2" t="str">
        <f t="shared" si="1"/>
        <v>CR</v>
      </c>
    </row>
    <row r="20" spans="1:8" x14ac:dyDescent="0.25">
      <c r="A20" s="9">
        <v>46207</v>
      </c>
      <c r="B20" s="26" t="s">
        <v>10</v>
      </c>
      <c r="C20" s="34" t="s">
        <v>1136</v>
      </c>
      <c r="D20" s="37" t="s">
        <v>1203</v>
      </c>
      <c r="E20" s="13"/>
      <c r="F20" s="13">
        <v>46000</v>
      </c>
      <c r="G20" s="3">
        <f t="shared" si="0"/>
        <v>656250</v>
      </c>
      <c r="H20" s="2" t="str">
        <f t="shared" si="1"/>
        <v>CR</v>
      </c>
    </row>
    <row r="21" spans="1:8" x14ac:dyDescent="0.25">
      <c r="A21" s="9">
        <v>46207</v>
      </c>
      <c r="B21" s="26" t="s">
        <v>10</v>
      </c>
      <c r="C21" s="34" t="s">
        <v>1136</v>
      </c>
      <c r="D21" s="37" t="s">
        <v>1204</v>
      </c>
      <c r="E21" s="13"/>
      <c r="F21" s="13">
        <v>39000</v>
      </c>
      <c r="G21" s="3">
        <f t="shared" si="0"/>
        <v>695250</v>
      </c>
      <c r="H21" s="2" t="str">
        <f t="shared" si="1"/>
        <v>CR</v>
      </c>
    </row>
    <row r="22" spans="1:8" x14ac:dyDescent="0.25">
      <c r="A22" s="9">
        <v>46209</v>
      </c>
      <c r="B22" s="34" t="s">
        <v>8</v>
      </c>
      <c r="C22" s="34" t="s">
        <v>585</v>
      </c>
      <c r="D22" s="37" t="s">
        <v>1142</v>
      </c>
      <c r="E22" s="13">
        <v>50000</v>
      </c>
      <c r="F22" s="13"/>
      <c r="G22" s="3">
        <f t="shared" si="0"/>
        <v>645250</v>
      </c>
      <c r="H22" s="2" t="str">
        <f t="shared" si="1"/>
        <v>CR</v>
      </c>
    </row>
    <row r="23" spans="1:8" x14ac:dyDescent="0.25">
      <c r="A23" s="9">
        <v>46213</v>
      </c>
      <c r="B23" s="34" t="s">
        <v>8</v>
      </c>
      <c r="C23" s="34" t="s">
        <v>585</v>
      </c>
      <c r="D23" s="37" t="s">
        <v>1142</v>
      </c>
      <c r="E23" s="13">
        <v>49000</v>
      </c>
      <c r="F23" s="13"/>
      <c r="G23" s="3">
        <f t="shared" si="0"/>
        <v>596250</v>
      </c>
      <c r="H23" s="2" t="str">
        <f t="shared" si="1"/>
        <v>CR</v>
      </c>
    </row>
    <row r="24" spans="1:8" x14ac:dyDescent="0.25">
      <c r="A24" s="9">
        <v>46252</v>
      </c>
      <c r="B24" s="26" t="s">
        <v>10</v>
      </c>
      <c r="C24" s="26" t="s">
        <v>1243</v>
      </c>
      <c r="D24" s="37" t="s">
        <v>1244</v>
      </c>
      <c r="E24" s="13"/>
      <c r="F24" s="13">
        <v>18500</v>
      </c>
      <c r="G24" s="3">
        <f t="shared" si="0"/>
        <v>614750</v>
      </c>
      <c r="H24" s="2" t="str">
        <f t="shared" si="1"/>
        <v>CR</v>
      </c>
    </row>
    <row r="25" spans="1:8" x14ac:dyDescent="0.25">
      <c r="A25" s="9">
        <v>46256</v>
      </c>
      <c r="B25" s="26" t="s">
        <v>10</v>
      </c>
      <c r="C25" s="34" t="s">
        <v>1136</v>
      </c>
      <c r="D25" s="37" t="s">
        <v>1245</v>
      </c>
      <c r="E25" s="13"/>
      <c r="F25" s="13">
        <v>75000</v>
      </c>
      <c r="G25" s="3">
        <f t="shared" si="0"/>
        <v>689750</v>
      </c>
      <c r="H25" s="2" t="str">
        <f t="shared" si="1"/>
        <v>CR</v>
      </c>
    </row>
    <row r="26" spans="1:8" x14ac:dyDescent="0.25">
      <c r="A26" s="9">
        <v>46256</v>
      </c>
      <c r="B26" s="26" t="s">
        <v>10</v>
      </c>
      <c r="C26" s="34" t="s">
        <v>1136</v>
      </c>
      <c r="D26" s="36" t="s">
        <v>1246</v>
      </c>
      <c r="E26" s="13"/>
      <c r="F26" s="13">
        <v>11000</v>
      </c>
      <c r="G26" s="3">
        <f t="shared" si="0"/>
        <v>700750</v>
      </c>
      <c r="H26" s="2" t="str">
        <f t="shared" si="1"/>
        <v>CR</v>
      </c>
    </row>
    <row r="27" spans="1:8" x14ac:dyDescent="0.25">
      <c r="A27" s="9">
        <v>46256</v>
      </c>
      <c r="B27" s="34" t="s">
        <v>8</v>
      </c>
      <c r="C27" s="34" t="s">
        <v>585</v>
      </c>
      <c r="D27" s="37" t="s">
        <v>1142</v>
      </c>
      <c r="E27" s="21">
        <v>345000</v>
      </c>
      <c r="F27" s="13"/>
      <c r="G27" s="3">
        <f t="shared" si="0"/>
        <v>355750</v>
      </c>
      <c r="H27" s="2" t="str">
        <f t="shared" si="1"/>
        <v>CR</v>
      </c>
    </row>
    <row r="28" spans="1:8" x14ac:dyDescent="0.25">
      <c r="A28" s="9"/>
      <c r="B28" s="26"/>
      <c r="C28" s="2"/>
      <c r="D28" s="36"/>
      <c r="E28" s="13"/>
      <c r="F28" s="13"/>
      <c r="G28" s="3">
        <f>G27+F28-E28</f>
        <v>355750</v>
      </c>
      <c r="H28" s="2" t="str">
        <f t="shared" si="1"/>
        <v>CR</v>
      </c>
    </row>
    <row r="29" spans="1:8" x14ac:dyDescent="0.25">
      <c r="A29" s="9"/>
      <c r="B29" s="26"/>
      <c r="C29" s="2"/>
      <c r="D29" s="36"/>
      <c r="E29" s="13"/>
      <c r="F29" s="13"/>
      <c r="G29" s="3">
        <f t="shared" si="0"/>
        <v>355750</v>
      </c>
      <c r="H29" s="2" t="str">
        <f t="shared" si="1"/>
        <v>CR</v>
      </c>
    </row>
    <row r="30" spans="1:8" x14ac:dyDescent="0.25">
      <c r="A30" s="9"/>
      <c r="B30" s="26"/>
      <c r="C30" s="2"/>
      <c r="D30" s="36"/>
      <c r="E30" s="13"/>
      <c r="F30" s="13"/>
      <c r="G30" s="3">
        <f t="shared" si="0"/>
        <v>355750</v>
      </c>
      <c r="H30" s="2" t="str">
        <f t="shared" si="1"/>
        <v>CR</v>
      </c>
    </row>
    <row r="31" spans="1:8" x14ac:dyDescent="0.25">
      <c r="A31" s="9"/>
      <c r="B31" s="26"/>
      <c r="C31" s="2"/>
      <c r="D31" s="36"/>
      <c r="E31" s="13"/>
      <c r="F31" s="13"/>
      <c r="G31" s="3">
        <f t="shared" si="0"/>
        <v>355750</v>
      </c>
      <c r="H31" s="2" t="str">
        <f t="shared" si="1"/>
        <v>CR</v>
      </c>
    </row>
    <row r="32" spans="1:8" x14ac:dyDescent="0.25">
      <c r="A32" s="9"/>
      <c r="B32" s="26"/>
      <c r="C32" s="2"/>
      <c r="D32" s="36"/>
      <c r="E32" s="13"/>
      <c r="F32" s="13"/>
      <c r="G32" s="3">
        <f t="shared" si="0"/>
        <v>355750</v>
      </c>
      <c r="H32" s="2" t="str">
        <f t="shared" si="1"/>
        <v>CR</v>
      </c>
    </row>
    <row r="33" spans="1:8" x14ac:dyDescent="0.25">
      <c r="A33" s="9"/>
      <c r="B33" s="26"/>
      <c r="C33" s="2"/>
      <c r="D33" s="36"/>
      <c r="E33" s="13"/>
      <c r="F33" s="13"/>
      <c r="G33" s="3">
        <f t="shared" si="0"/>
        <v>355750</v>
      </c>
      <c r="H33" s="2" t="str">
        <f t="shared" si="1"/>
        <v>CR</v>
      </c>
    </row>
    <row r="34" spans="1:8" x14ac:dyDescent="0.25">
      <c r="A34" s="9"/>
      <c r="B34" s="26"/>
      <c r="C34" s="12"/>
      <c r="D34" s="36"/>
      <c r="E34" s="13"/>
      <c r="F34" s="13"/>
      <c r="G34" s="3">
        <f t="shared" si="0"/>
        <v>355750</v>
      </c>
      <c r="H34" s="2" t="str">
        <f t="shared" si="1"/>
        <v>CR</v>
      </c>
    </row>
    <row r="35" spans="1:8" x14ac:dyDescent="0.25">
      <c r="A35" s="9"/>
      <c r="B35" s="34"/>
      <c r="C35" s="2"/>
      <c r="D35" s="36"/>
      <c r="E35" s="13"/>
      <c r="F35" s="13"/>
      <c r="G35" s="3">
        <f t="shared" si="0"/>
        <v>355750</v>
      </c>
      <c r="H35" s="2" t="str">
        <f t="shared" si="1"/>
        <v>CR</v>
      </c>
    </row>
    <row r="36" spans="1:8" ht="15.75" x14ac:dyDescent="0.25">
      <c r="A36" s="10"/>
      <c r="B36" s="4"/>
      <c r="C36" s="4"/>
      <c r="D36" s="4" t="s">
        <v>9</v>
      </c>
      <c r="E36" s="5">
        <f>SUM(E6:E35)</f>
        <v>946000</v>
      </c>
      <c r="F36" s="5">
        <f>SUM(F6:F35)</f>
        <v>541500</v>
      </c>
      <c r="G36" s="35">
        <f>G5+F36-E36</f>
        <v>355750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hyperlinks>
    <hyperlink ref="J1" location="'PAYABLES-2024'!A1" display="PAYABLE HOME" xr:uid="{F1FF7BF2-ED3E-4BAD-84C3-208C6E9CDC18}"/>
  </hyperlink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76BA-CF0B-4392-B1D3-B901BAE693D7}">
  <dimension ref="A1:J36"/>
  <sheetViews>
    <sheetView workbookViewId="0">
      <selection activeCell="J1" sqref="J1"/>
    </sheetView>
  </sheetViews>
  <sheetFormatPr defaultRowHeight="15" x14ac:dyDescent="0.25"/>
  <cols>
    <col min="1" max="1" width="13.85546875" customWidth="1"/>
    <col min="2" max="2" width="15.7109375" customWidth="1"/>
    <col min="3" max="3" width="14.140625" customWidth="1"/>
    <col min="4" max="4" width="36.7109375" customWidth="1"/>
    <col min="5" max="6" width="10.5703125" bestFit="1" customWidth="1"/>
    <col min="7" max="7" width="9.85546875" bestFit="1" customWidth="1"/>
    <col min="10" max="10" width="14.7109375" bestFit="1" customWidth="1"/>
  </cols>
  <sheetData>
    <row r="1" spans="1:10" ht="18.75" x14ac:dyDescent="0.3">
      <c r="A1" s="95" t="s">
        <v>0</v>
      </c>
      <c r="B1" s="95"/>
      <c r="C1" s="95"/>
      <c r="D1" s="95"/>
      <c r="E1" s="95"/>
      <c r="F1" s="95"/>
      <c r="G1" s="95"/>
      <c r="H1" s="95"/>
      <c r="J1" s="42" t="s">
        <v>670</v>
      </c>
    </row>
    <row r="2" spans="1:10" ht="15.75" x14ac:dyDescent="0.25">
      <c r="A2" s="96" t="s">
        <v>583</v>
      </c>
      <c r="B2" s="96"/>
      <c r="C2" s="96"/>
      <c r="D2" s="96"/>
      <c r="E2" s="96"/>
      <c r="F2" s="96"/>
      <c r="G2" s="96"/>
      <c r="H2" s="96"/>
    </row>
    <row r="3" spans="1:10" x14ac:dyDescent="0.25">
      <c r="A3" s="97" t="s">
        <v>581</v>
      </c>
      <c r="B3" s="97"/>
      <c r="C3" s="97"/>
      <c r="D3" s="97"/>
      <c r="E3" s="97"/>
      <c r="F3" s="97"/>
      <c r="G3" s="97"/>
      <c r="H3" s="97"/>
    </row>
    <row r="4" spans="1:10" x14ac:dyDescent="0.25">
      <c r="A4" s="8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7" t="s">
        <v>6</v>
      </c>
      <c r="G4" s="98" t="s">
        <v>7</v>
      </c>
      <c r="H4" s="98"/>
    </row>
    <row r="5" spans="1:10" x14ac:dyDescent="0.25">
      <c r="A5" s="9"/>
      <c r="B5" s="2"/>
      <c r="C5" s="2"/>
      <c r="D5" s="2"/>
      <c r="E5" s="3"/>
      <c r="F5" s="3"/>
      <c r="G5" s="3"/>
      <c r="H5" s="2"/>
    </row>
    <row r="6" spans="1:10" x14ac:dyDescent="0.25">
      <c r="A6" s="9">
        <v>45296</v>
      </c>
      <c r="B6" s="34" t="s">
        <v>10</v>
      </c>
      <c r="C6" s="34" t="s">
        <v>579</v>
      </c>
      <c r="D6" s="2" t="s">
        <v>580</v>
      </c>
      <c r="E6" s="13"/>
      <c r="F6" s="13">
        <v>130900</v>
      </c>
      <c r="G6" s="3">
        <f>G5+F6-E6</f>
        <v>130900</v>
      </c>
      <c r="H6" s="2" t="str">
        <f>IF(G6=0,"NIL",IF(G6&gt;0,"CR","DR"))</f>
        <v>CR</v>
      </c>
    </row>
    <row r="7" spans="1:10" x14ac:dyDescent="0.25">
      <c r="A7" s="9">
        <v>45299</v>
      </c>
      <c r="B7" s="34" t="s">
        <v>8</v>
      </c>
      <c r="C7" s="34">
        <v>890968438</v>
      </c>
      <c r="D7" s="2" t="s">
        <v>584</v>
      </c>
      <c r="E7" s="13">
        <v>50000</v>
      </c>
      <c r="F7" s="13"/>
      <c r="G7" s="3">
        <f t="shared" ref="G7:G35" si="0">G6+F7-E7</f>
        <v>80900</v>
      </c>
      <c r="H7" s="2" t="str">
        <f t="shared" ref="H7:H36" si="1">IF(G7=0,"NIL",IF(G7&gt;0,"CR","DR"))</f>
        <v>CR</v>
      </c>
    </row>
    <row r="8" spans="1:10" x14ac:dyDescent="0.25">
      <c r="A8" s="9">
        <v>45312</v>
      </c>
      <c r="B8" s="34" t="s">
        <v>8</v>
      </c>
      <c r="C8" s="34">
        <v>897169914</v>
      </c>
      <c r="D8" s="2" t="s">
        <v>584</v>
      </c>
      <c r="E8" s="13">
        <v>30900</v>
      </c>
      <c r="F8" s="13"/>
      <c r="G8" s="3">
        <f t="shared" si="0"/>
        <v>50000</v>
      </c>
      <c r="H8" s="2" t="str">
        <f t="shared" si="1"/>
        <v>CR</v>
      </c>
    </row>
    <row r="9" spans="1:10" x14ac:dyDescent="0.25">
      <c r="A9" s="9">
        <v>45315</v>
      </c>
      <c r="B9" s="34" t="s">
        <v>8</v>
      </c>
      <c r="C9" s="34" t="s">
        <v>585</v>
      </c>
      <c r="D9" s="2" t="s">
        <v>586</v>
      </c>
      <c r="E9" s="13">
        <v>100000</v>
      </c>
      <c r="F9" s="13">
        <v>50000</v>
      </c>
      <c r="G9" s="3">
        <f>G8+F9-E9</f>
        <v>0</v>
      </c>
      <c r="H9" s="2" t="str">
        <f t="shared" si="1"/>
        <v>NIL</v>
      </c>
    </row>
    <row r="10" spans="1:10" x14ac:dyDescent="0.25">
      <c r="A10" s="9">
        <v>45315</v>
      </c>
      <c r="B10" s="34" t="s">
        <v>10</v>
      </c>
      <c r="C10" s="34" t="s">
        <v>587</v>
      </c>
      <c r="D10" s="2" t="s">
        <v>588</v>
      </c>
      <c r="E10" s="13"/>
      <c r="F10" s="13">
        <v>373000</v>
      </c>
      <c r="G10" s="3">
        <f t="shared" si="0"/>
        <v>373000</v>
      </c>
      <c r="H10" s="2" t="str">
        <f t="shared" si="1"/>
        <v>CR</v>
      </c>
    </row>
    <row r="11" spans="1:10" x14ac:dyDescent="0.25">
      <c r="A11" s="9">
        <v>45320</v>
      </c>
      <c r="B11" s="34" t="s">
        <v>8</v>
      </c>
      <c r="C11" s="34">
        <v>900487264</v>
      </c>
      <c r="D11" s="2" t="s">
        <v>584</v>
      </c>
      <c r="E11" s="13">
        <v>45000</v>
      </c>
      <c r="F11" s="13"/>
      <c r="G11" s="3">
        <f t="shared" si="0"/>
        <v>328000</v>
      </c>
      <c r="H11" s="2" t="str">
        <f t="shared" si="1"/>
        <v>CR</v>
      </c>
    </row>
    <row r="12" spans="1:10" x14ac:dyDescent="0.25">
      <c r="A12" s="9">
        <v>45331</v>
      </c>
      <c r="B12" s="34" t="s">
        <v>8</v>
      </c>
      <c r="C12" s="34">
        <v>907032174</v>
      </c>
      <c r="D12" s="2" t="s">
        <v>584</v>
      </c>
      <c r="E12" s="13">
        <v>100000</v>
      </c>
      <c r="F12" s="13"/>
      <c r="G12" s="3">
        <f t="shared" si="0"/>
        <v>228000</v>
      </c>
      <c r="H12" s="2" t="str">
        <f t="shared" si="1"/>
        <v>CR</v>
      </c>
    </row>
    <row r="13" spans="1:10" x14ac:dyDescent="0.25">
      <c r="A13" s="9">
        <v>45339</v>
      </c>
      <c r="B13" s="34" t="s">
        <v>8</v>
      </c>
      <c r="C13" s="34">
        <v>4372</v>
      </c>
      <c r="D13" s="2" t="s">
        <v>584</v>
      </c>
      <c r="E13" s="13">
        <v>100000</v>
      </c>
      <c r="F13" s="13"/>
      <c r="G13" s="3">
        <f t="shared" si="0"/>
        <v>128000</v>
      </c>
      <c r="H13" s="2" t="str">
        <f t="shared" si="1"/>
        <v>CR</v>
      </c>
    </row>
    <row r="14" spans="1:10" x14ac:dyDescent="0.25">
      <c r="A14" s="9">
        <v>45339</v>
      </c>
      <c r="B14" s="34" t="s">
        <v>10</v>
      </c>
      <c r="C14" s="34" t="s">
        <v>589</v>
      </c>
      <c r="D14" s="2" t="s">
        <v>580</v>
      </c>
      <c r="E14" s="13"/>
      <c r="F14" s="13">
        <v>249000</v>
      </c>
      <c r="G14" s="3">
        <f t="shared" si="0"/>
        <v>377000</v>
      </c>
      <c r="H14" s="2" t="str">
        <f t="shared" si="1"/>
        <v>CR</v>
      </c>
    </row>
    <row r="15" spans="1:10" x14ac:dyDescent="0.25">
      <c r="A15" s="9">
        <v>45339</v>
      </c>
      <c r="B15" s="34" t="s">
        <v>10</v>
      </c>
      <c r="C15" s="34" t="s">
        <v>590</v>
      </c>
      <c r="D15" s="2" t="s">
        <v>591</v>
      </c>
      <c r="E15" s="13"/>
      <c r="F15" s="13">
        <v>177800</v>
      </c>
      <c r="G15" s="3">
        <f t="shared" si="0"/>
        <v>554800</v>
      </c>
      <c r="H15" s="2" t="str">
        <f t="shared" si="1"/>
        <v>CR</v>
      </c>
    </row>
    <row r="16" spans="1:10" x14ac:dyDescent="0.25">
      <c r="A16" s="9">
        <v>45354</v>
      </c>
      <c r="B16" s="34" t="s">
        <v>8</v>
      </c>
      <c r="C16" s="34">
        <v>918735228</v>
      </c>
      <c r="D16" s="2" t="s">
        <v>584</v>
      </c>
      <c r="E16" s="13">
        <v>104800</v>
      </c>
      <c r="F16" s="13"/>
      <c r="G16" s="3">
        <f>G15+F16-E16</f>
        <v>450000</v>
      </c>
      <c r="H16" s="2" t="str">
        <f t="shared" si="1"/>
        <v>CR</v>
      </c>
    </row>
    <row r="17" spans="1:8" x14ac:dyDescent="0.25">
      <c r="A17" s="9">
        <v>45355</v>
      </c>
      <c r="B17" s="34" t="s">
        <v>10</v>
      </c>
      <c r="C17" s="34" t="s">
        <v>593</v>
      </c>
      <c r="D17" s="2" t="s">
        <v>592</v>
      </c>
      <c r="E17" s="13"/>
      <c r="F17" s="13">
        <v>5200</v>
      </c>
      <c r="G17" s="3">
        <f t="shared" si="0"/>
        <v>455200</v>
      </c>
      <c r="H17" s="2" t="str">
        <f t="shared" si="1"/>
        <v>CR</v>
      </c>
    </row>
    <row r="18" spans="1:8" x14ac:dyDescent="0.25">
      <c r="A18" s="9">
        <v>45364</v>
      </c>
      <c r="B18" s="34" t="s">
        <v>8</v>
      </c>
      <c r="C18" s="34">
        <v>283496338</v>
      </c>
      <c r="D18" s="2" t="s">
        <v>584</v>
      </c>
      <c r="E18" s="13">
        <v>40500</v>
      </c>
      <c r="F18" s="13"/>
      <c r="G18" s="3">
        <f t="shared" si="0"/>
        <v>414700</v>
      </c>
      <c r="H18" s="2" t="str">
        <f t="shared" si="1"/>
        <v>CR</v>
      </c>
    </row>
    <row r="19" spans="1:8" x14ac:dyDescent="0.25">
      <c r="A19" s="9">
        <v>45367</v>
      </c>
      <c r="B19" s="34" t="s">
        <v>8</v>
      </c>
      <c r="C19" s="34" t="s">
        <v>585</v>
      </c>
      <c r="D19" s="2" t="s">
        <v>586</v>
      </c>
      <c r="E19" s="13">
        <v>60000</v>
      </c>
      <c r="F19" s="13"/>
      <c r="G19" s="3">
        <f t="shared" si="0"/>
        <v>354700</v>
      </c>
      <c r="H19" s="2" t="str">
        <f t="shared" si="1"/>
        <v>CR</v>
      </c>
    </row>
    <row r="20" spans="1:8" x14ac:dyDescent="0.25">
      <c r="A20" s="9">
        <v>45367</v>
      </c>
      <c r="B20" s="34" t="s">
        <v>10</v>
      </c>
      <c r="C20" s="34" t="s">
        <v>594</v>
      </c>
      <c r="D20" s="2" t="s">
        <v>595</v>
      </c>
      <c r="E20" s="3"/>
      <c r="F20" s="13">
        <v>260500</v>
      </c>
      <c r="G20" s="3">
        <f t="shared" si="0"/>
        <v>615200</v>
      </c>
      <c r="H20" s="2" t="str">
        <f t="shared" si="1"/>
        <v>CR</v>
      </c>
    </row>
    <row r="21" spans="1:8" x14ac:dyDescent="0.25">
      <c r="A21" s="9">
        <v>45367</v>
      </c>
      <c r="B21" s="34" t="s">
        <v>10</v>
      </c>
      <c r="C21" s="34" t="s">
        <v>596</v>
      </c>
      <c r="D21" s="2" t="s">
        <v>595</v>
      </c>
      <c r="E21" s="3"/>
      <c r="F21" s="13">
        <v>37500</v>
      </c>
      <c r="G21" s="3">
        <f t="shared" si="0"/>
        <v>652700</v>
      </c>
      <c r="H21" s="2" t="str">
        <f t="shared" si="1"/>
        <v>CR</v>
      </c>
    </row>
    <row r="22" spans="1:8" x14ac:dyDescent="0.25">
      <c r="A22" s="9">
        <v>45375</v>
      </c>
      <c r="B22" s="34" t="s">
        <v>8</v>
      </c>
      <c r="C22" s="34">
        <v>907032174</v>
      </c>
      <c r="D22" s="2" t="s">
        <v>584</v>
      </c>
      <c r="E22" s="3">
        <v>52700</v>
      </c>
      <c r="F22" s="3"/>
      <c r="G22" s="3">
        <f t="shared" si="0"/>
        <v>600000</v>
      </c>
      <c r="H22" s="2" t="str">
        <f t="shared" si="1"/>
        <v>CR</v>
      </c>
    </row>
    <row r="23" spans="1:8" x14ac:dyDescent="0.25">
      <c r="A23" s="9">
        <v>45390</v>
      </c>
      <c r="B23" s="34" t="s">
        <v>8</v>
      </c>
      <c r="C23" s="34">
        <v>907032174</v>
      </c>
      <c r="D23" s="2" t="s">
        <v>584</v>
      </c>
      <c r="E23" s="3">
        <v>100000</v>
      </c>
      <c r="F23" s="3"/>
      <c r="G23" s="3">
        <f t="shared" si="0"/>
        <v>500000</v>
      </c>
      <c r="H23" s="2" t="str">
        <f t="shared" si="1"/>
        <v>CR</v>
      </c>
    </row>
    <row r="24" spans="1:8" x14ac:dyDescent="0.25">
      <c r="A24" s="9">
        <v>45399</v>
      </c>
      <c r="B24" s="34" t="s">
        <v>8</v>
      </c>
      <c r="C24" s="34">
        <v>907032174</v>
      </c>
      <c r="D24" s="2" t="s">
        <v>584</v>
      </c>
      <c r="E24" s="3">
        <v>30000</v>
      </c>
      <c r="F24" s="3"/>
      <c r="G24" s="3">
        <f t="shared" si="0"/>
        <v>470000</v>
      </c>
      <c r="H24" s="2" t="str">
        <f t="shared" si="1"/>
        <v>CR</v>
      </c>
    </row>
    <row r="25" spans="1:8" x14ac:dyDescent="0.25">
      <c r="A25" s="9">
        <v>45406</v>
      </c>
      <c r="B25" s="34" t="s">
        <v>10</v>
      </c>
      <c r="C25" s="26" t="s">
        <v>646</v>
      </c>
      <c r="D25" s="2" t="s">
        <v>647</v>
      </c>
      <c r="E25" s="3"/>
      <c r="F25" s="3">
        <v>17000</v>
      </c>
      <c r="G25" s="3">
        <f t="shared" si="0"/>
        <v>487000</v>
      </c>
      <c r="H25" s="2" t="str">
        <f t="shared" si="1"/>
        <v>CR</v>
      </c>
    </row>
    <row r="26" spans="1:8" x14ac:dyDescent="0.25">
      <c r="A26" s="9">
        <v>45413</v>
      </c>
      <c r="B26" s="34" t="s">
        <v>8</v>
      </c>
      <c r="C26" s="34">
        <v>907032174</v>
      </c>
      <c r="D26" s="2" t="s">
        <v>584</v>
      </c>
      <c r="E26" s="3">
        <v>80000</v>
      </c>
      <c r="F26" s="3"/>
      <c r="G26" s="3">
        <f t="shared" si="0"/>
        <v>407000</v>
      </c>
      <c r="H26" s="2" t="str">
        <f t="shared" si="1"/>
        <v>CR</v>
      </c>
    </row>
    <row r="27" spans="1:8" x14ac:dyDescent="0.25">
      <c r="A27" s="9">
        <v>45425</v>
      </c>
      <c r="B27" s="34" t="s">
        <v>8</v>
      </c>
      <c r="C27" s="12">
        <v>957410210</v>
      </c>
      <c r="D27" s="2" t="s">
        <v>584</v>
      </c>
      <c r="E27" s="3">
        <v>57000</v>
      </c>
      <c r="F27" s="3"/>
      <c r="G27" s="3">
        <f t="shared" si="0"/>
        <v>350000</v>
      </c>
      <c r="H27" s="2" t="str">
        <f t="shared" si="1"/>
        <v>CR</v>
      </c>
    </row>
    <row r="28" spans="1:8" x14ac:dyDescent="0.25">
      <c r="A28" s="9">
        <v>45434</v>
      </c>
      <c r="B28" s="34" t="s">
        <v>8</v>
      </c>
      <c r="C28" s="34">
        <v>907032174</v>
      </c>
      <c r="D28" s="2" t="s">
        <v>584</v>
      </c>
      <c r="E28" s="3">
        <v>55500</v>
      </c>
      <c r="F28" s="3"/>
      <c r="G28" s="3">
        <f t="shared" si="0"/>
        <v>294500</v>
      </c>
      <c r="H28" s="2" t="str">
        <f t="shared" si="1"/>
        <v>CR</v>
      </c>
    </row>
    <row r="29" spans="1:8" x14ac:dyDescent="0.25">
      <c r="A29" s="9">
        <v>45437</v>
      </c>
      <c r="B29" s="26" t="s">
        <v>10</v>
      </c>
      <c r="C29" s="12" t="s">
        <v>671</v>
      </c>
      <c r="D29" s="2" t="s">
        <v>672</v>
      </c>
      <c r="E29" s="3"/>
      <c r="F29" s="3">
        <v>13500</v>
      </c>
      <c r="G29" s="3">
        <f t="shared" si="0"/>
        <v>308000</v>
      </c>
      <c r="H29" s="2" t="str">
        <f t="shared" si="1"/>
        <v>CR</v>
      </c>
    </row>
    <row r="30" spans="1:8" x14ac:dyDescent="0.25">
      <c r="A30" s="9">
        <v>45443</v>
      </c>
      <c r="B30" s="34" t="s">
        <v>8</v>
      </c>
      <c r="C30" s="34">
        <v>907032174</v>
      </c>
      <c r="D30" s="2" t="s">
        <v>584</v>
      </c>
      <c r="E30" s="3">
        <v>55000</v>
      </c>
      <c r="F30" s="3"/>
      <c r="G30" s="3">
        <f t="shared" si="0"/>
        <v>253000</v>
      </c>
      <c r="H30" s="2" t="str">
        <f t="shared" si="1"/>
        <v>CR</v>
      </c>
    </row>
    <row r="31" spans="1:8" x14ac:dyDescent="0.25">
      <c r="A31" s="9">
        <v>45455</v>
      </c>
      <c r="B31" s="34" t="s">
        <v>8</v>
      </c>
      <c r="C31" s="2">
        <v>90528791</v>
      </c>
      <c r="D31" s="2" t="s">
        <v>584</v>
      </c>
      <c r="E31" s="3">
        <v>53000</v>
      </c>
      <c r="F31" s="3"/>
      <c r="G31" s="3">
        <f t="shared" si="0"/>
        <v>200000</v>
      </c>
      <c r="H31" s="2" t="str">
        <f t="shared" si="1"/>
        <v>CR</v>
      </c>
    </row>
    <row r="32" spans="1:8" x14ac:dyDescent="0.25">
      <c r="A32" s="9">
        <v>45474</v>
      </c>
      <c r="B32" s="34" t="s">
        <v>8</v>
      </c>
      <c r="C32" s="34">
        <v>907032174</v>
      </c>
      <c r="D32" s="2" t="s">
        <v>584</v>
      </c>
      <c r="E32" s="3">
        <v>50000</v>
      </c>
      <c r="F32" s="3"/>
      <c r="G32" s="3">
        <f t="shared" si="0"/>
        <v>150000</v>
      </c>
      <c r="H32" s="2" t="str">
        <f t="shared" si="1"/>
        <v>CR</v>
      </c>
    </row>
    <row r="33" spans="1:8" x14ac:dyDescent="0.25">
      <c r="A33" s="9">
        <v>45485</v>
      </c>
      <c r="B33" s="34" t="s">
        <v>8</v>
      </c>
      <c r="C33" s="34">
        <v>907032174</v>
      </c>
      <c r="D33" s="2" t="s">
        <v>584</v>
      </c>
      <c r="E33" s="3">
        <v>75000</v>
      </c>
      <c r="F33" s="3"/>
      <c r="G33" s="3">
        <f t="shared" si="0"/>
        <v>75000</v>
      </c>
      <c r="H33" s="2" t="str">
        <f t="shared" si="1"/>
        <v>CR</v>
      </c>
    </row>
    <row r="34" spans="1:8" x14ac:dyDescent="0.25">
      <c r="A34" s="9">
        <v>45493</v>
      </c>
      <c r="B34" s="2" t="s">
        <v>10</v>
      </c>
      <c r="C34" s="2" t="s">
        <v>719</v>
      </c>
      <c r="D34" s="2" t="s">
        <v>720</v>
      </c>
      <c r="E34" s="3"/>
      <c r="F34" s="3">
        <v>72200</v>
      </c>
      <c r="G34" s="3">
        <f t="shared" si="0"/>
        <v>147200</v>
      </c>
      <c r="H34" s="2" t="str">
        <f t="shared" si="1"/>
        <v>CR</v>
      </c>
    </row>
    <row r="35" spans="1:8" x14ac:dyDescent="0.25">
      <c r="A35" s="9">
        <v>45502</v>
      </c>
      <c r="B35" s="34" t="s">
        <v>8</v>
      </c>
      <c r="C35" s="34">
        <v>907032174</v>
      </c>
      <c r="D35" s="2" t="s">
        <v>584</v>
      </c>
      <c r="E35" s="3">
        <v>27200</v>
      </c>
      <c r="F35" s="3"/>
      <c r="G35" s="3">
        <f t="shared" si="0"/>
        <v>120000</v>
      </c>
      <c r="H35" s="2" t="str">
        <f t="shared" si="1"/>
        <v>CR</v>
      </c>
    </row>
    <row r="36" spans="1:8" ht="15.75" x14ac:dyDescent="0.25">
      <c r="A36" s="10"/>
      <c r="B36" s="4"/>
      <c r="C36" s="4"/>
      <c r="D36" s="4" t="s">
        <v>9</v>
      </c>
      <c r="E36" s="5">
        <f>SUM(E6:E35)</f>
        <v>1266600</v>
      </c>
      <c r="F36" s="5">
        <f>SUM(F6:F35)</f>
        <v>1386600</v>
      </c>
      <c r="G36" s="35">
        <f>G5+F36-E36</f>
        <v>120000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hyperlinks>
    <hyperlink ref="J1" location="'PAYABLES-2024'!A1" display="PAYABLE HOME" xr:uid="{50A64626-5F00-4A51-B8F0-BB34ED7C394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DD73-501F-489B-BEDA-9D152BEAFE6C}">
  <dimension ref="A1:J36"/>
  <sheetViews>
    <sheetView workbookViewId="0">
      <selection activeCell="J1" sqref="J1"/>
    </sheetView>
  </sheetViews>
  <sheetFormatPr defaultRowHeight="15" x14ac:dyDescent="0.25"/>
  <cols>
    <col min="1" max="1" width="13.85546875" customWidth="1"/>
    <col min="2" max="2" width="15.7109375" customWidth="1"/>
    <col min="3" max="3" width="14.140625" customWidth="1"/>
    <col min="4" max="4" width="36.7109375" customWidth="1"/>
    <col min="5" max="6" width="10.5703125" bestFit="1" customWidth="1"/>
    <col min="7" max="7" width="9.85546875" bestFit="1" customWidth="1"/>
    <col min="8" max="8" width="8.5703125" customWidth="1"/>
    <col min="10" max="10" width="14.7109375" bestFit="1" customWidth="1"/>
  </cols>
  <sheetData>
    <row r="1" spans="1:10" ht="18.75" x14ac:dyDescent="0.3">
      <c r="A1" s="95" t="s">
        <v>0</v>
      </c>
      <c r="B1" s="95"/>
      <c r="C1" s="95"/>
      <c r="D1" s="95"/>
      <c r="E1" s="95"/>
      <c r="F1" s="95"/>
      <c r="G1" s="95"/>
      <c r="H1" s="95"/>
      <c r="J1" s="42" t="s">
        <v>670</v>
      </c>
    </row>
    <row r="2" spans="1:10" ht="15.75" x14ac:dyDescent="0.25">
      <c r="A2" s="96" t="s">
        <v>583</v>
      </c>
      <c r="B2" s="96"/>
      <c r="C2" s="96"/>
      <c r="D2" s="96"/>
      <c r="E2" s="96"/>
      <c r="F2" s="96"/>
      <c r="G2" s="96"/>
      <c r="H2" s="96"/>
    </row>
    <row r="3" spans="1:10" x14ac:dyDescent="0.25">
      <c r="A3" s="97" t="s">
        <v>581</v>
      </c>
      <c r="B3" s="97"/>
      <c r="C3" s="97"/>
      <c r="D3" s="97"/>
      <c r="E3" s="97"/>
      <c r="F3" s="97"/>
      <c r="G3" s="97"/>
      <c r="H3" s="97"/>
    </row>
    <row r="4" spans="1:10" x14ac:dyDescent="0.25">
      <c r="A4" s="8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7" t="s">
        <v>6</v>
      </c>
      <c r="G4" s="98" t="s">
        <v>7</v>
      </c>
      <c r="H4" s="98"/>
    </row>
    <row r="5" spans="1:10" x14ac:dyDescent="0.25">
      <c r="A5" s="9"/>
      <c r="B5" s="2"/>
      <c r="C5" s="2"/>
      <c r="D5" s="2"/>
      <c r="E5" s="3"/>
      <c r="F5" s="3"/>
      <c r="G5" s="3">
        <f>' ZAFAR &amp; SONS RWP 1'!G36</f>
        <v>120000</v>
      </c>
      <c r="H5" s="2"/>
    </row>
    <row r="6" spans="1:10" x14ac:dyDescent="0.25">
      <c r="A6" s="9">
        <v>45512</v>
      </c>
      <c r="B6" s="34" t="s">
        <v>8</v>
      </c>
      <c r="C6" s="34"/>
      <c r="D6" s="2" t="s">
        <v>729</v>
      </c>
      <c r="E6" s="13">
        <v>60000</v>
      </c>
      <c r="F6" s="13">
        <v>0</v>
      </c>
      <c r="G6" s="3">
        <f>G5+F6-E6</f>
        <v>60000</v>
      </c>
      <c r="H6" s="2" t="str">
        <f>IF(G6=0,"NIL",IF(G6&gt;0,"CR","DR"))</f>
        <v>CR</v>
      </c>
    </row>
    <row r="7" spans="1:10" x14ac:dyDescent="0.25">
      <c r="A7" s="9">
        <v>45514</v>
      </c>
      <c r="B7" s="34" t="s">
        <v>10</v>
      </c>
      <c r="C7" s="34" t="s">
        <v>732</v>
      </c>
      <c r="D7" s="2" t="s">
        <v>733</v>
      </c>
      <c r="E7" s="13">
        <v>0</v>
      </c>
      <c r="F7" s="13">
        <v>140000</v>
      </c>
      <c r="G7" s="3">
        <f t="shared" ref="G7:G35" si="0">G6+F7-E7</f>
        <v>200000</v>
      </c>
      <c r="H7" s="2" t="str">
        <f t="shared" ref="H7:H36" si="1">IF(G7=0,"NIL",IF(G7&gt;0,"CR","DR"))</f>
        <v>CR</v>
      </c>
    </row>
    <row r="8" spans="1:10" x14ac:dyDescent="0.25">
      <c r="A8" s="9">
        <v>45526</v>
      </c>
      <c r="B8" s="34" t="s">
        <v>8</v>
      </c>
      <c r="C8" s="34" t="s">
        <v>8</v>
      </c>
      <c r="D8" s="2" t="s">
        <v>742</v>
      </c>
      <c r="E8" s="13">
        <v>40000</v>
      </c>
      <c r="F8" s="13"/>
      <c r="G8" s="3">
        <f t="shared" si="0"/>
        <v>160000</v>
      </c>
      <c r="H8" s="2" t="str">
        <f t="shared" si="1"/>
        <v>CR</v>
      </c>
    </row>
    <row r="9" spans="1:10" x14ac:dyDescent="0.25">
      <c r="A9" s="9">
        <v>45541</v>
      </c>
      <c r="B9" s="34" t="s">
        <v>8</v>
      </c>
      <c r="C9" s="34" t="s">
        <v>8</v>
      </c>
      <c r="D9" s="2" t="s">
        <v>742</v>
      </c>
      <c r="E9" s="13">
        <v>50000</v>
      </c>
      <c r="F9" s="13"/>
      <c r="G9" s="3">
        <f>G8+F9-E9</f>
        <v>110000</v>
      </c>
      <c r="H9" s="2" t="str">
        <f t="shared" si="1"/>
        <v>CR</v>
      </c>
    </row>
    <row r="10" spans="1:10" x14ac:dyDescent="0.25">
      <c r="A10" s="9">
        <v>45565</v>
      </c>
      <c r="B10" s="34" t="s">
        <v>8</v>
      </c>
      <c r="C10" s="34" t="s">
        <v>8</v>
      </c>
      <c r="D10" s="2" t="s">
        <v>742</v>
      </c>
      <c r="E10" s="13">
        <v>50000</v>
      </c>
      <c r="F10" s="13"/>
      <c r="G10" s="3">
        <f t="shared" si="0"/>
        <v>60000</v>
      </c>
      <c r="H10" s="2" t="str">
        <f t="shared" si="1"/>
        <v>CR</v>
      </c>
    </row>
    <row r="11" spans="1:10" x14ac:dyDescent="0.25">
      <c r="A11" s="9">
        <v>45572</v>
      </c>
      <c r="B11" s="34" t="s">
        <v>764</v>
      </c>
      <c r="C11" s="34" t="s">
        <v>8</v>
      </c>
      <c r="D11" s="2" t="s">
        <v>765</v>
      </c>
      <c r="E11" s="21">
        <v>42500</v>
      </c>
      <c r="F11" s="13"/>
      <c r="G11" s="3">
        <f t="shared" si="0"/>
        <v>17500</v>
      </c>
      <c r="H11" s="2" t="str">
        <f t="shared" si="1"/>
        <v>CR</v>
      </c>
    </row>
    <row r="12" spans="1:10" x14ac:dyDescent="0.25">
      <c r="A12" s="9">
        <v>45572</v>
      </c>
      <c r="B12" s="34" t="s">
        <v>10</v>
      </c>
      <c r="C12" s="34" t="s">
        <v>766</v>
      </c>
      <c r="D12" s="2" t="s">
        <v>733</v>
      </c>
      <c r="E12" s="13"/>
      <c r="F12" s="13">
        <f>172300+14000</f>
        <v>186300</v>
      </c>
      <c r="G12" s="3">
        <f t="shared" si="0"/>
        <v>203800</v>
      </c>
      <c r="H12" s="2" t="str">
        <f t="shared" si="1"/>
        <v>CR</v>
      </c>
    </row>
    <row r="13" spans="1:10" x14ac:dyDescent="0.25">
      <c r="A13" s="9">
        <v>45576</v>
      </c>
      <c r="B13" s="34" t="s">
        <v>8</v>
      </c>
      <c r="C13" s="34" t="s">
        <v>8</v>
      </c>
      <c r="D13" s="2" t="s">
        <v>742</v>
      </c>
      <c r="E13" s="13">
        <v>30000</v>
      </c>
      <c r="F13" s="13"/>
      <c r="G13" s="3">
        <f t="shared" si="0"/>
        <v>173800</v>
      </c>
      <c r="H13" s="2" t="str">
        <f t="shared" si="1"/>
        <v>CR</v>
      </c>
    </row>
    <row r="14" spans="1:10" x14ac:dyDescent="0.25">
      <c r="A14" s="9">
        <v>45583</v>
      </c>
      <c r="B14" s="34" t="s">
        <v>8</v>
      </c>
      <c r="C14" s="34" t="s">
        <v>8</v>
      </c>
      <c r="D14" s="2" t="s">
        <v>742</v>
      </c>
      <c r="E14" s="13">
        <v>23800</v>
      </c>
      <c r="F14" s="13"/>
      <c r="G14" s="3">
        <f t="shared" si="0"/>
        <v>150000</v>
      </c>
      <c r="H14" s="2" t="str">
        <f t="shared" si="1"/>
        <v>CR</v>
      </c>
    </row>
    <row r="15" spans="1:10" x14ac:dyDescent="0.25">
      <c r="A15" s="9">
        <v>45593</v>
      </c>
      <c r="B15" s="34" t="s">
        <v>10</v>
      </c>
      <c r="C15" s="34" t="s">
        <v>827</v>
      </c>
      <c r="D15" s="2" t="s">
        <v>733</v>
      </c>
      <c r="E15" s="13"/>
      <c r="F15" s="13">
        <v>107200</v>
      </c>
      <c r="G15" s="3">
        <f t="shared" si="0"/>
        <v>257200</v>
      </c>
      <c r="H15" s="2" t="str">
        <f t="shared" si="1"/>
        <v>CR</v>
      </c>
    </row>
    <row r="16" spans="1:10" x14ac:dyDescent="0.25">
      <c r="A16" s="9">
        <v>45593</v>
      </c>
      <c r="B16" s="34" t="s">
        <v>10</v>
      </c>
      <c r="C16" s="34" t="s">
        <v>827</v>
      </c>
      <c r="D16" s="2" t="s">
        <v>828</v>
      </c>
      <c r="E16" s="13"/>
      <c r="F16" s="13">
        <v>3200</v>
      </c>
      <c r="G16" s="3">
        <f>G15+F16-E16</f>
        <v>260400</v>
      </c>
      <c r="H16" s="2" t="str">
        <f t="shared" si="1"/>
        <v>CR</v>
      </c>
    </row>
    <row r="17" spans="1:8" x14ac:dyDescent="0.25">
      <c r="A17" s="9">
        <v>45594</v>
      </c>
      <c r="B17" s="34" t="s">
        <v>8</v>
      </c>
      <c r="C17" s="34" t="s">
        <v>8</v>
      </c>
      <c r="D17" s="2" t="s">
        <v>742</v>
      </c>
      <c r="E17" s="13">
        <v>60400</v>
      </c>
      <c r="F17" s="13"/>
      <c r="G17" s="3">
        <f t="shared" si="0"/>
        <v>200000</v>
      </c>
      <c r="H17" s="2" t="str">
        <f t="shared" si="1"/>
        <v>CR</v>
      </c>
    </row>
    <row r="18" spans="1:8" x14ac:dyDescent="0.25">
      <c r="A18" s="9">
        <v>45602</v>
      </c>
      <c r="B18" s="34" t="s">
        <v>8</v>
      </c>
      <c r="C18" s="34" t="s">
        <v>8</v>
      </c>
      <c r="D18" s="2" t="s">
        <v>742</v>
      </c>
      <c r="E18" s="13">
        <v>50000</v>
      </c>
      <c r="F18" s="13"/>
      <c r="G18" s="3">
        <f t="shared" si="0"/>
        <v>150000</v>
      </c>
      <c r="H18" s="2" t="str">
        <f t="shared" si="1"/>
        <v>CR</v>
      </c>
    </row>
    <row r="19" spans="1:8" x14ac:dyDescent="0.25">
      <c r="A19" s="9">
        <v>45611</v>
      </c>
      <c r="B19" s="34" t="s">
        <v>8</v>
      </c>
      <c r="C19" s="34" t="s">
        <v>8</v>
      </c>
      <c r="D19" s="2" t="s">
        <v>742</v>
      </c>
      <c r="E19" s="13">
        <v>30000</v>
      </c>
      <c r="F19" s="13"/>
      <c r="G19" s="3">
        <f t="shared" si="0"/>
        <v>120000</v>
      </c>
      <c r="H19" s="2" t="str">
        <f t="shared" si="1"/>
        <v>CR</v>
      </c>
    </row>
    <row r="20" spans="1:8" x14ac:dyDescent="0.25">
      <c r="A20" s="9">
        <v>45612</v>
      </c>
      <c r="B20" s="34" t="s">
        <v>10</v>
      </c>
      <c r="C20" s="34" t="s">
        <v>854</v>
      </c>
      <c r="D20" s="2" t="s">
        <v>733</v>
      </c>
      <c r="E20" s="3"/>
      <c r="F20" s="13">
        <v>41500</v>
      </c>
      <c r="G20" s="3">
        <f t="shared" si="0"/>
        <v>161500</v>
      </c>
      <c r="H20" s="2" t="str">
        <f t="shared" si="1"/>
        <v>CR</v>
      </c>
    </row>
    <row r="21" spans="1:8" x14ac:dyDescent="0.25">
      <c r="A21" s="9">
        <v>45614</v>
      </c>
      <c r="B21" s="34" t="s">
        <v>8</v>
      </c>
      <c r="C21" s="34" t="s">
        <v>8</v>
      </c>
      <c r="D21" s="2" t="s">
        <v>742</v>
      </c>
      <c r="E21" s="3">
        <v>51500</v>
      </c>
      <c r="F21" s="13"/>
      <c r="G21" s="3">
        <f t="shared" si="0"/>
        <v>110000</v>
      </c>
      <c r="H21" s="2" t="str">
        <f t="shared" si="1"/>
        <v>CR</v>
      </c>
    </row>
    <row r="22" spans="1:8" x14ac:dyDescent="0.25">
      <c r="A22" s="9">
        <v>45629</v>
      </c>
      <c r="B22" s="34" t="s">
        <v>10</v>
      </c>
      <c r="C22" s="34" t="s">
        <v>862</v>
      </c>
      <c r="D22" s="2" t="s">
        <v>863</v>
      </c>
      <c r="E22" s="3">
        <v>0</v>
      </c>
      <c r="F22" s="3">
        <v>37000</v>
      </c>
      <c r="G22" s="3">
        <f t="shared" si="0"/>
        <v>147000</v>
      </c>
      <c r="H22" s="2" t="str">
        <f t="shared" si="1"/>
        <v>CR</v>
      </c>
    </row>
    <row r="23" spans="1:8" x14ac:dyDescent="0.25">
      <c r="A23" s="9">
        <v>45642</v>
      </c>
      <c r="B23" s="34" t="s">
        <v>8</v>
      </c>
      <c r="C23" s="34" t="s">
        <v>8</v>
      </c>
      <c r="D23" s="2" t="s">
        <v>742</v>
      </c>
      <c r="E23" s="3">
        <v>50000</v>
      </c>
      <c r="F23" s="3"/>
      <c r="G23" s="3">
        <f t="shared" si="0"/>
        <v>97000</v>
      </c>
      <c r="H23" s="2" t="str">
        <f t="shared" si="1"/>
        <v>CR</v>
      </c>
    </row>
    <row r="24" spans="1:8" x14ac:dyDescent="0.25">
      <c r="A24" s="9">
        <v>45661</v>
      </c>
      <c r="B24" s="34" t="s">
        <v>10</v>
      </c>
      <c r="C24" s="34" t="s">
        <v>880</v>
      </c>
      <c r="D24" s="2" t="s">
        <v>733</v>
      </c>
      <c r="E24" s="3"/>
      <c r="F24" s="3">
        <v>77100</v>
      </c>
      <c r="G24" s="3">
        <f t="shared" si="0"/>
        <v>174100</v>
      </c>
      <c r="H24" s="2" t="str">
        <f t="shared" si="1"/>
        <v>CR</v>
      </c>
    </row>
    <row r="25" spans="1:8" x14ac:dyDescent="0.25">
      <c r="A25" s="9">
        <v>45661</v>
      </c>
      <c r="B25" s="34" t="s">
        <v>8</v>
      </c>
      <c r="C25" s="34" t="s">
        <v>8</v>
      </c>
      <c r="D25" s="2" t="s">
        <v>742</v>
      </c>
      <c r="E25" s="3">
        <v>100000</v>
      </c>
      <c r="F25" s="3"/>
      <c r="G25" s="3">
        <f t="shared" si="0"/>
        <v>74100</v>
      </c>
      <c r="H25" s="2" t="str">
        <f t="shared" si="1"/>
        <v>CR</v>
      </c>
    </row>
    <row r="26" spans="1:8" x14ac:dyDescent="0.25">
      <c r="A26" s="9">
        <v>45681</v>
      </c>
      <c r="B26" s="34" t="s">
        <v>8</v>
      </c>
      <c r="C26" s="34" t="s">
        <v>8</v>
      </c>
      <c r="D26" s="2" t="s">
        <v>742</v>
      </c>
      <c r="E26" s="3">
        <v>24100</v>
      </c>
      <c r="F26" s="3"/>
      <c r="G26" s="3">
        <f t="shared" si="0"/>
        <v>50000</v>
      </c>
      <c r="H26" s="2" t="str">
        <f t="shared" si="1"/>
        <v>CR</v>
      </c>
    </row>
    <row r="27" spans="1:8" x14ac:dyDescent="0.25">
      <c r="A27" s="9">
        <v>45687</v>
      </c>
      <c r="B27" s="34" t="s">
        <v>10</v>
      </c>
      <c r="C27" s="34" t="s">
        <v>880</v>
      </c>
      <c r="D27" s="2" t="s">
        <v>733</v>
      </c>
      <c r="E27" s="3"/>
      <c r="F27" s="3">
        <v>25500</v>
      </c>
      <c r="G27" s="3">
        <f t="shared" si="0"/>
        <v>75500</v>
      </c>
      <c r="H27" s="2" t="str">
        <f t="shared" si="1"/>
        <v>CR</v>
      </c>
    </row>
    <row r="28" spans="1:8" x14ac:dyDescent="0.25">
      <c r="A28" s="9">
        <v>45694</v>
      </c>
      <c r="B28" s="34"/>
      <c r="C28" s="34" t="s">
        <v>8</v>
      </c>
      <c r="D28" s="2" t="s">
        <v>742</v>
      </c>
      <c r="E28" s="3">
        <v>30500</v>
      </c>
      <c r="F28" s="3"/>
      <c r="G28" s="3">
        <f t="shared" si="0"/>
        <v>45000</v>
      </c>
      <c r="H28" s="2" t="str">
        <f t="shared" si="1"/>
        <v>CR</v>
      </c>
    </row>
    <row r="29" spans="1:8" x14ac:dyDescent="0.25">
      <c r="A29" s="9">
        <v>45701</v>
      </c>
      <c r="B29" s="34" t="s">
        <v>10</v>
      </c>
      <c r="C29" s="34" t="s">
        <v>911</v>
      </c>
      <c r="D29" s="2" t="s">
        <v>733</v>
      </c>
      <c r="E29" s="3"/>
      <c r="F29" s="3">
        <v>146200</v>
      </c>
      <c r="G29" s="3">
        <f t="shared" si="0"/>
        <v>191200</v>
      </c>
      <c r="H29" s="2" t="str">
        <f t="shared" si="1"/>
        <v>CR</v>
      </c>
    </row>
    <row r="30" spans="1:8" x14ac:dyDescent="0.25">
      <c r="A30" s="9">
        <v>45732</v>
      </c>
      <c r="B30" s="34" t="s">
        <v>8</v>
      </c>
      <c r="C30" s="34" t="s">
        <v>8</v>
      </c>
      <c r="D30" s="2" t="s">
        <v>742</v>
      </c>
      <c r="E30" s="3">
        <v>51200</v>
      </c>
      <c r="F30" s="3"/>
      <c r="G30" s="3">
        <f t="shared" si="0"/>
        <v>140000</v>
      </c>
      <c r="H30" s="2" t="str">
        <f t="shared" si="1"/>
        <v>CR</v>
      </c>
    </row>
    <row r="31" spans="1:8" x14ac:dyDescent="0.25">
      <c r="A31" s="9">
        <v>45744</v>
      </c>
      <c r="B31" s="34" t="s">
        <v>8</v>
      </c>
      <c r="C31" s="34" t="s">
        <v>8</v>
      </c>
      <c r="D31" s="2" t="s">
        <v>742</v>
      </c>
      <c r="E31" s="3">
        <v>50000</v>
      </c>
      <c r="F31" s="3"/>
      <c r="G31" s="3">
        <f t="shared" si="0"/>
        <v>90000</v>
      </c>
      <c r="H31" s="2" t="str">
        <f t="shared" si="1"/>
        <v>CR</v>
      </c>
    </row>
    <row r="32" spans="1:8" x14ac:dyDescent="0.25">
      <c r="A32" s="9">
        <v>45759</v>
      </c>
      <c r="B32" s="34" t="s">
        <v>10</v>
      </c>
      <c r="C32" s="34" t="s">
        <v>926</v>
      </c>
      <c r="D32" s="2" t="s">
        <v>733</v>
      </c>
      <c r="E32" s="3"/>
      <c r="F32" s="3">
        <v>121550</v>
      </c>
      <c r="G32" s="3">
        <f t="shared" si="0"/>
        <v>211550</v>
      </c>
      <c r="H32" s="2" t="str">
        <f t="shared" si="1"/>
        <v>CR</v>
      </c>
    </row>
    <row r="33" spans="1:8" x14ac:dyDescent="0.25">
      <c r="A33" s="9">
        <v>45759</v>
      </c>
      <c r="B33" s="34" t="s">
        <v>10</v>
      </c>
      <c r="C33" s="34" t="s">
        <v>927</v>
      </c>
      <c r="D33" s="2" t="s">
        <v>733</v>
      </c>
      <c r="E33" s="3"/>
      <c r="F33" s="3">
        <v>56700</v>
      </c>
      <c r="G33" s="3">
        <f t="shared" si="0"/>
        <v>268250</v>
      </c>
      <c r="H33" s="2" t="str">
        <f t="shared" si="1"/>
        <v>CR</v>
      </c>
    </row>
    <row r="34" spans="1:8" x14ac:dyDescent="0.25">
      <c r="A34" s="9">
        <v>45763</v>
      </c>
      <c r="B34" s="34" t="s">
        <v>8</v>
      </c>
      <c r="C34" s="34" t="s">
        <v>8</v>
      </c>
      <c r="D34" s="2" t="s">
        <v>742</v>
      </c>
      <c r="E34" s="3">
        <v>68250</v>
      </c>
      <c r="F34" s="3"/>
      <c r="G34" s="3">
        <f t="shared" si="0"/>
        <v>200000</v>
      </c>
      <c r="H34" s="2" t="str">
        <f t="shared" si="1"/>
        <v>CR</v>
      </c>
    </row>
    <row r="35" spans="1:8" x14ac:dyDescent="0.25">
      <c r="A35" s="9"/>
      <c r="B35" s="34"/>
      <c r="C35" s="34"/>
      <c r="D35" s="2"/>
      <c r="E35" s="3"/>
      <c r="F35" s="3"/>
      <c r="G35" s="3">
        <f t="shared" si="0"/>
        <v>200000</v>
      </c>
      <c r="H35" s="2" t="str">
        <f t="shared" si="1"/>
        <v>CR</v>
      </c>
    </row>
    <row r="36" spans="1:8" ht="15.75" x14ac:dyDescent="0.25">
      <c r="A36" s="10"/>
      <c r="B36" s="4"/>
      <c r="C36" s="4"/>
      <c r="D36" s="4" t="s">
        <v>9</v>
      </c>
      <c r="E36" s="5">
        <f>SUM(E6:E35)</f>
        <v>862250</v>
      </c>
      <c r="F36" s="5">
        <f>SUM(F6:F35)</f>
        <v>942250</v>
      </c>
      <c r="G36" s="35">
        <f>G5+F36-E36</f>
        <v>200000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hyperlinks>
    <hyperlink ref="J1" location="'PAYABLES-2024'!A1" display="PAYABLE HOME" xr:uid="{22E1A3D3-7C1C-4E7F-8869-CEE13C95991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E22D-9C34-4080-BE20-705A8B4646AE}">
  <dimension ref="A1:J36"/>
  <sheetViews>
    <sheetView topLeftCell="A22" workbookViewId="0">
      <selection activeCell="B35" sqref="B35"/>
    </sheetView>
  </sheetViews>
  <sheetFormatPr defaultRowHeight="15" x14ac:dyDescent="0.25"/>
  <cols>
    <col min="1" max="1" width="13.85546875" customWidth="1"/>
    <col min="2" max="2" width="15.7109375" customWidth="1"/>
    <col min="3" max="3" width="14.140625" customWidth="1"/>
    <col min="4" max="4" width="36.7109375" customWidth="1"/>
    <col min="5" max="6" width="10.5703125" bestFit="1" customWidth="1"/>
    <col min="7" max="7" width="9.85546875" bestFit="1" customWidth="1"/>
    <col min="8" max="8" width="8.5703125" customWidth="1"/>
    <col min="10" max="10" width="14.7109375" bestFit="1" customWidth="1"/>
  </cols>
  <sheetData>
    <row r="1" spans="1:10" ht="18.75" x14ac:dyDescent="0.3">
      <c r="A1" s="95" t="s">
        <v>0</v>
      </c>
      <c r="B1" s="95"/>
      <c r="C1" s="95"/>
      <c r="D1" s="95"/>
      <c r="E1" s="95"/>
      <c r="F1" s="95"/>
      <c r="G1" s="95"/>
      <c r="H1" s="95"/>
      <c r="J1" s="42" t="s">
        <v>670</v>
      </c>
    </row>
    <row r="2" spans="1:10" ht="15.75" x14ac:dyDescent="0.25">
      <c r="A2" s="96" t="s">
        <v>583</v>
      </c>
      <c r="B2" s="96"/>
      <c r="C2" s="96"/>
      <c r="D2" s="96"/>
      <c r="E2" s="96"/>
      <c r="F2" s="96"/>
      <c r="G2" s="96"/>
      <c r="H2" s="96"/>
    </row>
    <row r="3" spans="1:10" x14ac:dyDescent="0.25">
      <c r="A3" s="97" t="s">
        <v>581</v>
      </c>
      <c r="B3" s="97"/>
      <c r="C3" s="97"/>
      <c r="D3" s="97"/>
      <c r="E3" s="97"/>
      <c r="F3" s="97"/>
      <c r="G3" s="97"/>
      <c r="H3" s="97"/>
    </row>
    <row r="4" spans="1:10" x14ac:dyDescent="0.25">
      <c r="A4" s="8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7" t="s">
        <v>6</v>
      </c>
      <c r="G4" s="98" t="s">
        <v>7</v>
      </c>
      <c r="H4" s="98"/>
    </row>
    <row r="5" spans="1:10" x14ac:dyDescent="0.25">
      <c r="A5" s="9"/>
      <c r="B5" s="2"/>
      <c r="C5" s="2"/>
      <c r="D5" s="2"/>
      <c r="E5" s="3"/>
      <c r="F5" s="3"/>
      <c r="G5" s="3">
        <v>200000</v>
      </c>
      <c r="H5" s="2"/>
    </row>
    <row r="6" spans="1:10" x14ac:dyDescent="0.25">
      <c r="A6" s="9">
        <v>45769</v>
      </c>
      <c r="B6" s="34" t="s">
        <v>8</v>
      </c>
      <c r="C6" s="34" t="s">
        <v>8</v>
      </c>
      <c r="D6" s="2" t="s">
        <v>729</v>
      </c>
      <c r="E6" s="13">
        <v>40000</v>
      </c>
      <c r="F6" s="13"/>
      <c r="G6" s="3">
        <f>G5+F6-E6</f>
        <v>160000</v>
      </c>
      <c r="H6" s="2" t="str">
        <f>IF(G6=0,"NIL",IF(G6&gt;0,"CR","DR"))</f>
        <v>CR</v>
      </c>
    </row>
    <row r="7" spans="1:10" x14ac:dyDescent="0.25">
      <c r="A7" s="9">
        <v>45787</v>
      </c>
      <c r="B7" s="34" t="s">
        <v>10</v>
      </c>
      <c r="C7" s="34" t="s">
        <v>938</v>
      </c>
      <c r="D7" s="2" t="s">
        <v>733</v>
      </c>
      <c r="E7" s="13"/>
      <c r="F7" s="13">
        <v>11000</v>
      </c>
      <c r="G7" s="3">
        <f t="shared" ref="G7:G35" si="0">G6+F7-E7</f>
        <v>171000</v>
      </c>
      <c r="H7" s="2" t="str">
        <f t="shared" ref="H7:H36" si="1">IF(G7=0,"NIL",IF(G7&gt;0,"CR","DR"))</f>
        <v>CR</v>
      </c>
    </row>
    <row r="8" spans="1:10" x14ac:dyDescent="0.25">
      <c r="A8" s="9">
        <v>45787</v>
      </c>
      <c r="B8" s="34" t="s">
        <v>10</v>
      </c>
      <c r="C8" s="34" t="s">
        <v>939</v>
      </c>
      <c r="D8" s="2" t="s">
        <v>733</v>
      </c>
      <c r="E8" s="13"/>
      <c r="F8" s="13">
        <v>94100</v>
      </c>
      <c r="G8" s="3">
        <f t="shared" si="0"/>
        <v>265100</v>
      </c>
      <c r="H8" s="2" t="str">
        <f t="shared" si="1"/>
        <v>CR</v>
      </c>
    </row>
    <row r="9" spans="1:10" x14ac:dyDescent="0.25">
      <c r="A9" s="9">
        <v>45787</v>
      </c>
      <c r="B9" s="34" t="s">
        <v>8</v>
      </c>
      <c r="C9" s="34" t="s">
        <v>8</v>
      </c>
      <c r="D9" s="2" t="s">
        <v>729</v>
      </c>
      <c r="E9" s="13">
        <v>65100</v>
      </c>
      <c r="F9" s="13"/>
      <c r="G9" s="3">
        <f>G8+F9-E9</f>
        <v>200000</v>
      </c>
      <c r="H9" s="2" t="str">
        <f t="shared" si="1"/>
        <v>CR</v>
      </c>
    </row>
    <row r="10" spans="1:10" x14ac:dyDescent="0.25">
      <c r="A10" s="9">
        <v>45797</v>
      </c>
      <c r="B10" s="34" t="s">
        <v>8</v>
      </c>
      <c r="C10" s="34" t="s">
        <v>8</v>
      </c>
      <c r="D10" s="2" t="s">
        <v>729</v>
      </c>
      <c r="E10" s="13">
        <v>40000</v>
      </c>
      <c r="F10" s="13"/>
      <c r="G10" s="3">
        <f t="shared" si="0"/>
        <v>160000</v>
      </c>
      <c r="H10" s="2" t="str">
        <f t="shared" si="1"/>
        <v>CR</v>
      </c>
    </row>
    <row r="11" spans="1:10" x14ac:dyDescent="0.25">
      <c r="A11" s="9">
        <v>45800</v>
      </c>
      <c r="B11" s="34" t="s">
        <v>8</v>
      </c>
      <c r="C11" s="34" t="s">
        <v>8</v>
      </c>
      <c r="D11" s="2" t="s">
        <v>729</v>
      </c>
      <c r="E11" s="13">
        <v>50000</v>
      </c>
      <c r="F11" s="13"/>
      <c r="G11" s="3">
        <f t="shared" si="0"/>
        <v>110000</v>
      </c>
      <c r="H11" s="2" t="str">
        <f t="shared" si="1"/>
        <v>CR</v>
      </c>
    </row>
    <row r="12" spans="1:10" x14ac:dyDescent="0.25">
      <c r="A12" s="9">
        <v>45802</v>
      </c>
      <c r="B12" s="34" t="s">
        <v>10</v>
      </c>
      <c r="C12" s="34" t="s">
        <v>943</v>
      </c>
      <c r="D12" s="2" t="s">
        <v>733</v>
      </c>
      <c r="E12" s="13"/>
      <c r="F12" s="13">
        <v>191150</v>
      </c>
      <c r="G12" s="3">
        <f t="shared" si="0"/>
        <v>301150</v>
      </c>
      <c r="H12" s="2" t="str">
        <f t="shared" si="1"/>
        <v>CR</v>
      </c>
    </row>
    <row r="13" spans="1:10" x14ac:dyDescent="0.25">
      <c r="A13" s="9">
        <v>45805</v>
      </c>
      <c r="B13" s="34" t="s">
        <v>8</v>
      </c>
      <c r="C13" s="34" t="s">
        <v>8</v>
      </c>
      <c r="D13" s="2" t="s">
        <v>729</v>
      </c>
      <c r="E13" s="13">
        <v>31000</v>
      </c>
      <c r="F13" s="13"/>
      <c r="G13" s="3">
        <f t="shared" si="0"/>
        <v>270150</v>
      </c>
      <c r="H13" s="2" t="str">
        <f t="shared" si="1"/>
        <v>CR</v>
      </c>
    </row>
    <row r="14" spans="1:10" x14ac:dyDescent="0.25">
      <c r="A14" s="9">
        <v>45811</v>
      </c>
      <c r="B14" s="34" t="s">
        <v>8</v>
      </c>
      <c r="C14" s="34" t="s">
        <v>8</v>
      </c>
      <c r="D14" s="2" t="s">
        <v>729</v>
      </c>
      <c r="E14" s="13">
        <v>30000</v>
      </c>
      <c r="F14" s="13"/>
      <c r="G14" s="3">
        <f t="shared" si="0"/>
        <v>240150</v>
      </c>
      <c r="H14" s="2" t="str">
        <f t="shared" si="1"/>
        <v>CR</v>
      </c>
    </row>
    <row r="15" spans="1:10" x14ac:dyDescent="0.25">
      <c r="A15" s="9">
        <v>45831</v>
      </c>
      <c r="B15" s="34" t="s">
        <v>10</v>
      </c>
      <c r="C15" s="34" t="s">
        <v>952</v>
      </c>
      <c r="D15" s="2" t="s">
        <v>733</v>
      </c>
      <c r="E15" s="13"/>
      <c r="F15" s="13">
        <v>36500</v>
      </c>
      <c r="G15" s="3">
        <f t="shared" si="0"/>
        <v>276650</v>
      </c>
      <c r="H15" s="2" t="str">
        <f t="shared" si="1"/>
        <v>CR</v>
      </c>
    </row>
    <row r="16" spans="1:10" x14ac:dyDescent="0.25">
      <c r="A16" s="9">
        <v>45832</v>
      </c>
      <c r="B16" s="34" t="s">
        <v>8</v>
      </c>
      <c r="C16" s="34" t="s">
        <v>8</v>
      </c>
      <c r="D16" s="2" t="s">
        <v>729</v>
      </c>
      <c r="E16" s="13">
        <v>56650</v>
      </c>
      <c r="F16" s="13"/>
      <c r="G16" s="3">
        <f>G15+F16-E16</f>
        <v>220000</v>
      </c>
      <c r="H16" s="2" t="str">
        <f t="shared" si="1"/>
        <v>CR</v>
      </c>
    </row>
    <row r="17" spans="1:8" x14ac:dyDescent="0.25">
      <c r="A17" s="9">
        <v>45838</v>
      </c>
      <c r="B17" s="34" t="s">
        <v>8</v>
      </c>
      <c r="C17" s="34" t="s">
        <v>8</v>
      </c>
      <c r="D17" s="2" t="s">
        <v>729</v>
      </c>
      <c r="E17" s="13">
        <v>20000</v>
      </c>
      <c r="F17" s="13"/>
      <c r="G17" s="3">
        <f t="shared" si="0"/>
        <v>200000</v>
      </c>
      <c r="H17" s="2" t="str">
        <f t="shared" si="1"/>
        <v>CR</v>
      </c>
    </row>
    <row r="18" spans="1:8" x14ac:dyDescent="0.25">
      <c r="A18" s="9">
        <v>45839</v>
      </c>
      <c r="B18" s="34" t="s">
        <v>8</v>
      </c>
      <c r="C18" s="34" t="s">
        <v>8</v>
      </c>
      <c r="D18" s="2" t="s">
        <v>733</v>
      </c>
      <c r="E18" s="13"/>
      <c r="F18" s="13">
        <v>24500</v>
      </c>
      <c r="G18" s="3">
        <f t="shared" si="0"/>
        <v>224500</v>
      </c>
      <c r="H18" s="2" t="str">
        <f t="shared" si="1"/>
        <v>CR</v>
      </c>
    </row>
    <row r="19" spans="1:8" x14ac:dyDescent="0.25">
      <c r="A19" s="9">
        <v>45846</v>
      </c>
      <c r="B19" s="34" t="s">
        <v>8</v>
      </c>
      <c r="C19" s="34" t="s">
        <v>8</v>
      </c>
      <c r="D19" s="2" t="s">
        <v>729</v>
      </c>
      <c r="E19" s="13">
        <v>74500</v>
      </c>
      <c r="F19" s="13"/>
      <c r="G19" s="3">
        <f t="shared" si="0"/>
        <v>150000</v>
      </c>
      <c r="H19" s="2" t="str">
        <f t="shared" si="1"/>
        <v>CR</v>
      </c>
    </row>
    <row r="20" spans="1:8" x14ac:dyDescent="0.25">
      <c r="A20" s="9">
        <v>45846</v>
      </c>
      <c r="B20" s="34" t="s">
        <v>10</v>
      </c>
      <c r="C20" s="34" t="s">
        <v>991</v>
      </c>
      <c r="D20" s="2" t="s">
        <v>733</v>
      </c>
      <c r="E20" s="3"/>
      <c r="F20" s="13">
        <v>11000</v>
      </c>
      <c r="G20" s="3">
        <f t="shared" si="0"/>
        <v>161000</v>
      </c>
      <c r="H20" s="2" t="str">
        <f t="shared" si="1"/>
        <v>CR</v>
      </c>
    </row>
    <row r="21" spans="1:8" x14ac:dyDescent="0.25">
      <c r="A21" s="9">
        <v>45854</v>
      </c>
      <c r="B21" s="34" t="s">
        <v>8</v>
      </c>
      <c r="C21" s="34" t="s">
        <v>8</v>
      </c>
      <c r="D21" s="2" t="s">
        <v>729</v>
      </c>
      <c r="E21" s="3">
        <v>20000</v>
      </c>
      <c r="F21" s="21"/>
      <c r="G21" s="3">
        <f t="shared" si="0"/>
        <v>141000</v>
      </c>
      <c r="H21" s="2" t="str">
        <f t="shared" si="1"/>
        <v>CR</v>
      </c>
    </row>
    <row r="22" spans="1:8" x14ac:dyDescent="0.25">
      <c r="A22" s="9">
        <v>45859</v>
      </c>
      <c r="B22" s="34" t="s">
        <v>10</v>
      </c>
      <c r="C22" s="34" t="s">
        <v>1001</v>
      </c>
      <c r="D22" s="2" t="s">
        <v>733</v>
      </c>
      <c r="E22" s="3"/>
      <c r="F22" s="3">
        <v>49000</v>
      </c>
      <c r="G22" s="3">
        <f>G21+F22-E22</f>
        <v>190000</v>
      </c>
      <c r="H22" s="2" t="str">
        <f t="shared" si="1"/>
        <v>CR</v>
      </c>
    </row>
    <row r="23" spans="1:8" x14ac:dyDescent="0.25">
      <c r="A23" s="9">
        <v>45859</v>
      </c>
      <c r="B23" s="34" t="s">
        <v>10</v>
      </c>
      <c r="C23" s="34" t="s">
        <v>8</v>
      </c>
      <c r="D23" s="2" t="s">
        <v>729</v>
      </c>
      <c r="E23" s="3">
        <v>40000</v>
      </c>
      <c r="F23" s="3"/>
      <c r="G23" s="3">
        <f t="shared" si="0"/>
        <v>150000</v>
      </c>
      <c r="H23" s="2" t="str">
        <f t="shared" si="1"/>
        <v>CR</v>
      </c>
    </row>
    <row r="24" spans="1:8" x14ac:dyDescent="0.25">
      <c r="A24" s="9">
        <v>45861</v>
      </c>
      <c r="B24" s="34" t="s">
        <v>10</v>
      </c>
      <c r="C24" s="34" t="s">
        <v>1002</v>
      </c>
      <c r="D24" s="2" t="s">
        <v>733</v>
      </c>
      <c r="E24" s="3"/>
      <c r="F24" s="3">
        <v>217900</v>
      </c>
      <c r="G24" s="3">
        <f t="shared" si="0"/>
        <v>367900</v>
      </c>
      <c r="H24" s="2" t="str">
        <f t="shared" si="1"/>
        <v>CR</v>
      </c>
    </row>
    <row r="25" spans="1:8" x14ac:dyDescent="0.25">
      <c r="A25" s="9">
        <v>45861</v>
      </c>
      <c r="B25" s="34" t="s">
        <v>10</v>
      </c>
      <c r="C25" s="34" t="s">
        <v>1003</v>
      </c>
      <c r="D25" s="2" t="s">
        <v>733</v>
      </c>
      <c r="E25" s="3"/>
      <c r="F25" s="3">
        <v>34500</v>
      </c>
      <c r="G25" s="3">
        <f t="shared" si="0"/>
        <v>402400</v>
      </c>
      <c r="H25" s="2" t="str">
        <f t="shared" si="1"/>
        <v>CR</v>
      </c>
    </row>
    <row r="26" spans="1:8" x14ac:dyDescent="0.25">
      <c r="A26" s="9">
        <v>45866</v>
      </c>
      <c r="B26" s="34" t="s">
        <v>8</v>
      </c>
      <c r="C26" s="34" t="s">
        <v>8</v>
      </c>
      <c r="D26" s="2" t="s">
        <v>729</v>
      </c>
      <c r="E26" s="3">
        <v>52400</v>
      </c>
      <c r="F26" s="3"/>
      <c r="G26" s="3">
        <f t="shared" si="0"/>
        <v>350000</v>
      </c>
      <c r="H26" s="2" t="str">
        <f t="shared" si="1"/>
        <v>CR</v>
      </c>
    </row>
    <row r="27" spans="1:8" x14ac:dyDescent="0.25">
      <c r="A27" s="9">
        <v>45884</v>
      </c>
      <c r="B27" s="34" t="s">
        <v>8</v>
      </c>
      <c r="C27" s="34" t="s">
        <v>8</v>
      </c>
      <c r="D27" s="2" t="s">
        <v>729</v>
      </c>
      <c r="E27" s="3">
        <v>50000</v>
      </c>
      <c r="F27" s="3"/>
      <c r="G27" s="3">
        <f t="shared" si="0"/>
        <v>300000</v>
      </c>
      <c r="H27" s="2" t="str">
        <f t="shared" si="1"/>
        <v>CR</v>
      </c>
    </row>
    <row r="28" spans="1:8" x14ac:dyDescent="0.25">
      <c r="A28" s="9">
        <v>45894</v>
      </c>
      <c r="B28" s="34" t="s">
        <v>8</v>
      </c>
      <c r="C28" s="34" t="s">
        <v>8</v>
      </c>
      <c r="D28" s="2" t="s">
        <v>729</v>
      </c>
      <c r="E28" s="3">
        <v>30000</v>
      </c>
      <c r="F28" s="3"/>
      <c r="G28" s="3">
        <f t="shared" si="0"/>
        <v>270000</v>
      </c>
      <c r="H28" s="2" t="str">
        <f t="shared" si="1"/>
        <v>CR</v>
      </c>
    </row>
    <row r="29" spans="1:8" x14ac:dyDescent="0.25">
      <c r="A29" s="9">
        <v>45898</v>
      </c>
      <c r="B29" s="34" t="s">
        <v>8</v>
      </c>
      <c r="C29" s="34" t="s">
        <v>8</v>
      </c>
      <c r="D29" s="2" t="s">
        <v>729</v>
      </c>
      <c r="E29" s="3">
        <v>40000</v>
      </c>
      <c r="F29" s="3"/>
      <c r="G29" s="3">
        <f t="shared" si="0"/>
        <v>230000</v>
      </c>
      <c r="H29" s="2" t="str">
        <f t="shared" si="1"/>
        <v>CR</v>
      </c>
    </row>
    <row r="30" spans="1:8" x14ac:dyDescent="0.25">
      <c r="A30" s="9">
        <v>45887</v>
      </c>
      <c r="B30" s="34" t="s">
        <v>10</v>
      </c>
      <c r="C30" s="34" t="s">
        <v>1003</v>
      </c>
      <c r="D30" s="2" t="s">
        <v>733</v>
      </c>
      <c r="E30" s="3"/>
      <c r="F30" s="3">
        <v>26000</v>
      </c>
      <c r="G30" s="3">
        <f t="shared" si="0"/>
        <v>256000</v>
      </c>
      <c r="H30" s="2" t="str">
        <f t="shared" si="1"/>
        <v>CR</v>
      </c>
    </row>
    <row r="31" spans="1:8" x14ac:dyDescent="0.25">
      <c r="A31" s="9">
        <v>45920</v>
      </c>
      <c r="B31" s="34" t="s">
        <v>8</v>
      </c>
      <c r="C31" s="34" t="s">
        <v>8</v>
      </c>
      <c r="D31" s="2" t="s">
        <v>729</v>
      </c>
      <c r="E31" s="3">
        <v>106000</v>
      </c>
      <c r="F31" s="3"/>
      <c r="G31" s="3">
        <f t="shared" si="0"/>
        <v>150000</v>
      </c>
      <c r="H31" s="2" t="str">
        <f t="shared" si="1"/>
        <v>CR</v>
      </c>
    </row>
    <row r="32" spans="1:8" x14ac:dyDescent="0.25">
      <c r="A32" s="9">
        <v>45943</v>
      </c>
      <c r="B32" s="34" t="s">
        <v>10</v>
      </c>
      <c r="C32" s="34" t="s">
        <v>1068</v>
      </c>
      <c r="D32" s="2" t="s">
        <v>733</v>
      </c>
      <c r="E32" s="3"/>
      <c r="F32" s="3">
        <v>8000</v>
      </c>
      <c r="G32" s="3">
        <f t="shared" si="0"/>
        <v>158000</v>
      </c>
      <c r="H32" s="2" t="str">
        <f t="shared" si="1"/>
        <v>CR</v>
      </c>
    </row>
    <row r="33" spans="1:8" x14ac:dyDescent="0.25">
      <c r="A33" s="9">
        <v>45943</v>
      </c>
      <c r="B33" s="34" t="s">
        <v>8</v>
      </c>
      <c r="C33" s="34" t="s">
        <v>8</v>
      </c>
      <c r="D33" s="2" t="s">
        <v>729</v>
      </c>
      <c r="E33" s="3">
        <v>40000</v>
      </c>
      <c r="F33" s="3"/>
      <c r="G33" s="3">
        <f t="shared" si="0"/>
        <v>118000</v>
      </c>
      <c r="H33" s="2" t="str">
        <f t="shared" si="1"/>
        <v>CR</v>
      </c>
    </row>
    <row r="34" spans="1:8" x14ac:dyDescent="0.25">
      <c r="A34" s="9">
        <v>45949</v>
      </c>
      <c r="B34" s="34" t="s">
        <v>10</v>
      </c>
      <c r="C34" s="34" t="s">
        <v>1069</v>
      </c>
      <c r="D34" s="2" t="s">
        <v>733</v>
      </c>
      <c r="E34" s="3"/>
      <c r="F34" s="3">
        <v>116500</v>
      </c>
      <c r="G34" s="3">
        <f t="shared" si="0"/>
        <v>234500</v>
      </c>
      <c r="H34" s="2" t="str">
        <f t="shared" si="1"/>
        <v>CR</v>
      </c>
    </row>
    <row r="35" spans="1:8" x14ac:dyDescent="0.25">
      <c r="A35" s="9">
        <v>45949</v>
      </c>
      <c r="B35" s="34" t="s">
        <v>10</v>
      </c>
      <c r="C35" s="34" t="s">
        <v>1070</v>
      </c>
      <c r="D35" s="2" t="s">
        <v>733</v>
      </c>
      <c r="E35" s="3"/>
      <c r="F35" s="3">
        <v>13400</v>
      </c>
      <c r="G35" s="3">
        <f t="shared" si="0"/>
        <v>247900</v>
      </c>
      <c r="H35" s="2" t="str">
        <f t="shared" si="1"/>
        <v>CR</v>
      </c>
    </row>
    <row r="36" spans="1:8" ht="15.75" x14ac:dyDescent="0.25">
      <c r="A36" s="10"/>
      <c r="B36" s="4"/>
      <c r="C36" s="4"/>
      <c r="D36" s="4" t="s">
        <v>9</v>
      </c>
      <c r="E36" s="5">
        <f>SUM(E6:E35)</f>
        <v>785650</v>
      </c>
      <c r="F36" s="5">
        <f>SUM(F6:F35)</f>
        <v>833550</v>
      </c>
      <c r="G36" s="35">
        <f>G5+F36-E36</f>
        <v>247900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hyperlinks>
    <hyperlink ref="J1" location="'PAYABLES-2024'!A1" display="PAYABLE HOME" xr:uid="{292D35FF-E690-4428-BABA-E3CBF36313E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ABDD-9729-4F3C-8FC3-789ABF7D2148}">
  <dimension ref="A1:J36"/>
  <sheetViews>
    <sheetView topLeftCell="A13" workbookViewId="0">
      <selection activeCell="B34" sqref="B34"/>
    </sheetView>
  </sheetViews>
  <sheetFormatPr defaultRowHeight="15" x14ac:dyDescent="0.25"/>
  <cols>
    <col min="1" max="1" width="13.85546875" customWidth="1"/>
    <col min="2" max="2" width="15.7109375" customWidth="1"/>
    <col min="3" max="3" width="14.140625" customWidth="1"/>
    <col min="4" max="4" width="36.7109375" customWidth="1"/>
    <col min="5" max="6" width="10.5703125" bestFit="1" customWidth="1"/>
    <col min="7" max="7" width="9.85546875" bestFit="1" customWidth="1"/>
    <col min="8" max="8" width="8.5703125" customWidth="1"/>
    <col min="10" max="10" width="14.7109375" bestFit="1" customWidth="1"/>
  </cols>
  <sheetData>
    <row r="1" spans="1:10" ht="18.75" x14ac:dyDescent="0.3">
      <c r="A1" s="95" t="s">
        <v>0</v>
      </c>
      <c r="B1" s="95"/>
      <c r="C1" s="95"/>
      <c r="D1" s="95"/>
      <c r="E1" s="95"/>
      <c r="F1" s="95"/>
      <c r="G1" s="95"/>
      <c r="H1" s="95"/>
      <c r="J1" s="42" t="s">
        <v>670</v>
      </c>
    </row>
    <row r="2" spans="1:10" ht="15.75" x14ac:dyDescent="0.25">
      <c r="A2" s="96" t="s">
        <v>583</v>
      </c>
      <c r="B2" s="96"/>
      <c r="C2" s="96"/>
      <c r="D2" s="96"/>
      <c r="E2" s="96"/>
      <c r="F2" s="96"/>
      <c r="G2" s="96"/>
      <c r="H2" s="96"/>
    </row>
    <row r="3" spans="1:10" x14ac:dyDescent="0.25">
      <c r="A3" s="97" t="s">
        <v>581</v>
      </c>
      <c r="B3" s="97"/>
      <c r="C3" s="97"/>
      <c r="D3" s="97"/>
      <c r="E3" s="97"/>
      <c r="F3" s="97"/>
      <c r="G3" s="97"/>
      <c r="H3" s="97"/>
    </row>
    <row r="4" spans="1:10" x14ac:dyDescent="0.25">
      <c r="A4" s="8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7" t="s">
        <v>6</v>
      </c>
      <c r="G4" s="98" t="s">
        <v>7</v>
      </c>
      <c r="H4" s="98"/>
    </row>
    <row r="5" spans="1:10" x14ac:dyDescent="0.25">
      <c r="A5" s="9"/>
      <c r="B5" s="2"/>
      <c r="C5" s="2"/>
      <c r="D5" s="2"/>
      <c r="E5" s="3"/>
      <c r="F5" s="3"/>
      <c r="G5" s="3">
        <f>'ZAFAR &amp; SONS RWP 3 '!G36</f>
        <v>247900</v>
      </c>
      <c r="H5" s="2"/>
    </row>
    <row r="6" spans="1:10" x14ac:dyDescent="0.25">
      <c r="A6" s="9">
        <v>45952</v>
      </c>
      <c r="B6" s="34" t="s">
        <v>8</v>
      </c>
      <c r="C6" s="34" t="s">
        <v>8</v>
      </c>
      <c r="D6" s="2" t="s">
        <v>729</v>
      </c>
      <c r="E6" s="13">
        <v>100000</v>
      </c>
      <c r="F6" s="13"/>
      <c r="G6" s="3">
        <f>G5+F6-E6</f>
        <v>147900</v>
      </c>
      <c r="H6" s="2" t="str">
        <f>IF(G6=0,"NIL",IF(G6&gt;0,"CR","DR"))</f>
        <v>CR</v>
      </c>
    </row>
    <row r="7" spans="1:10" x14ac:dyDescent="0.25">
      <c r="A7" s="9">
        <v>45955</v>
      </c>
      <c r="B7" s="34" t="s">
        <v>1071</v>
      </c>
      <c r="C7" s="34" t="s">
        <v>1071</v>
      </c>
      <c r="D7" s="2" t="s">
        <v>1072</v>
      </c>
      <c r="E7" s="13">
        <v>12500</v>
      </c>
      <c r="F7" s="13"/>
      <c r="G7" s="3">
        <f t="shared" ref="G7:G35" si="0">G6+F7-E7</f>
        <v>135400</v>
      </c>
      <c r="H7" s="2" t="str">
        <f t="shared" ref="H7:H36" si="1">IF(G7=0,"NIL",IF(G7&gt;0,"CR","DR"))</f>
        <v>CR</v>
      </c>
    </row>
    <row r="8" spans="1:10" x14ac:dyDescent="0.25">
      <c r="A8" s="9">
        <v>45955</v>
      </c>
      <c r="B8" s="34" t="s">
        <v>8</v>
      </c>
      <c r="C8" s="34" t="s">
        <v>8</v>
      </c>
      <c r="D8" s="2" t="s">
        <v>842</v>
      </c>
      <c r="E8" s="13">
        <v>40000</v>
      </c>
      <c r="F8" s="13"/>
      <c r="G8" s="3">
        <f t="shared" si="0"/>
        <v>95400</v>
      </c>
      <c r="H8" s="2" t="str">
        <f t="shared" si="1"/>
        <v>CR</v>
      </c>
    </row>
    <row r="9" spans="1:10" x14ac:dyDescent="0.25">
      <c r="A9" s="9">
        <v>45958</v>
      </c>
      <c r="B9" s="34" t="s">
        <v>10</v>
      </c>
      <c r="C9" s="34" t="s">
        <v>1077</v>
      </c>
      <c r="D9" s="2" t="s">
        <v>1078</v>
      </c>
      <c r="E9" s="13"/>
      <c r="F9" s="13">
        <v>57000</v>
      </c>
      <c r="G9" s="3">
        <f>G8+F9-E9</f>
        <v>152400</v>
      </c>
      <c r="H9" s="2" t="str">
        <f t="shared" si="1"/>
        <v>CR</v>
      </c>
    </row>
    <row r="10" spans="1:10" x14ac:dyDescent="0.25">
      <c r="A10" s="9">
        <v>45964</v>
      </c>
      <c r="B10" s="34" t="s">
        <v>10</v>
      </c>
      <c r="C10" s="34" t="s">
        <v>1077</v>
      </c>
      <c r="D10" s="2" t="s">
        <v>1084</v>
      </c>
      <c r="E10" s="13"/>
      <c r="F10" s="13">
        <v>44600</v>
      </c>
      <c r="G10" s="3">
        <f t="shared" si="0"/>
        <v>197000</v>
      </c>
      <c r="H10" s="2" t="str">
        <f t="shared" si="1"/>
        <v>CR</v>
      </c>
    </row>
    <row r="11" spans="1:10" x14ac:dyDescent="0.25">
      <c r="A11" s="9">
        <v>45981</v>
      </c>
      <c r="B11" s="34" t="s">
        <v>8</v>
      </c>
      <c r="C11" s="34" t="s">
        <v>8</v>
      </c>
      <c r="D11" s="2" t="s">
        <v>729</v>
      </c>
      <c r="E11" s="13">
        <v>50000</v>
      </c>
      <c r="F11" s="13"/>
      <c r="G11" s="3">
        <f t="shared" si="0"/>
        <v>147000</v>
      </c>
      <c r="H11" s="2" t="str">
        <f t="shared" si="1"/>
        <v>CR</v>
      </c>
    </row>
    <row r="12" spans="1:10" x14ac:dyDescent="0.25">
      <c r="A12" s="9">
        <v>45992</v>
      </c>
      <c r="B12" s="34" t="s">
        <v>8</v>
      </c>
      <c r="C12" s="34" t="s">
        <v>8</v>
      </c>
      <c r="D12" s="2" t="s">
        <v>729</v>
      </c>
      <c r="E12" s="13">
        <v>50000</v>
      </c>
      <c r="F12" s="13"/>
      <c r="G12" s="3">
        <f t="shared" si="0"/>
        <v>97000</v>
      </c>
      <c r="H12" s="2" t="str">
        <f t="shared" si="1"/>
        <v>CR</v>
      </c>
    </row>
    <row r="13" spans="1:10" x14ac:dyDescent="0.25">
      <c r="A13" s="9">
        <v>45992</v>
      </c>
      <c r="B13" s="34" t="s">
        <v>1071</v>
      </c>
      <c r="C13" s="34" t="s">
        <v>1071</v>
      </c>
      <c r="D13" s="2" t="s">
        <v>1097</v>
      </c>
      <c r="E13" s="13">
        <v>4000</v>
      </c>
      <c r="F13" s="13"/>
      <c r="G13" s="3">
        <f t="shared" si="0"/>
        <v>93000</v>
      </c>
      <c r="H13" s="2" t="str">
        <f t="shared" si="1"/>
        <v>CR</v>
      </c>
    </row>
    <row r="14" spans="1:10" x14ac:dyDescent="0.25">
      <c r="A14" s="9">
        <v>45992</v>
      </c>
      <c r="B14" s="34" t="s">
        <v>10</v>
      </c>
      <c r="C14" s="34" t="s">
        <v>1105</v>
      </c>
      <c r="D14" s="2" t="s">
        <v>1104</v>
      </c>
      <c r="E14" s="13"/>
      <c r="F14" s="13">
        <v>246050</v>
      </c>
      <c r="G14" s="3">
        <f t="shared" si="0"/>
        <v>339050</v>
      </c>
      <c r="H14" s="2" t="str">
        <f t="shared" si="1"/>
        <v>CR</v>
      </c>
    </row>
    <row r="15" spans="1:10" x14ac:dyDescent="0.25">
      <c r="A15" s="9">
        <v>45993</v>
      </c>
      <c r="B15" s="34" t="s">
        <v>10</v>
      </c>
      <c r="C15" s="34" t="s">
        <v>1106</v>
      </c>
      <c r="D15" s="2" t="s">
        <v>1104</v>
      </c>
      <c r="E15" s="13"/>
      <c r="F15" s="13">
        <v>40750</v>
      </c>
      <c r="G15" s="3">
        <f t="shared" si="0"/>
        <v>379800</v>
      </c>
      <c r="H15" s="2" t="str">
        <f t="shared" si="1"/>
        <v>CR</v>
      </c>
    </row>
    <row r="16" spans="1:10" x14ac:dyDescent="0.25">
      <c r="A16" s="9">
        <v>46004</v>
      </c>
      <c r="B16" s="34" t="s">
        <v>8</v>
      </c>
      <c r="C16" s="34" t="s">
        <v>8</v>
      </c>
      <c r="D16" s="2" t="s">
        <v>729</v>
      </c>
      <c r="E16" s="13">
        <v>50000</v>
      </c>
      <c r="F16" s="13"/>
      <c r="G16" s="3">
        <f>G15+F16-E16</f>
        <v>329800</v>
      </c>
      <c r="H16" s="2" t="str">
        <f t="shared" si="1"/>
        <v>CR</v>
      </c>
    </row>
    <row r="17" spans="1:8" x14ac:dyDescent="0.25">
      <c r="A17" s="9">
        <v>46021</v>
      </c>
      <c r="B17" s="34" t="s">
        <v>8</v>
      </c>
      <c r="C17" s="34" t="s">
        <v>8</v>
      </c>
      <c r="D17" s="2" t="s">
        <v>729</v>
      </c>
      <c r="E17" s="13">
        <v>30000</v>
      </c>
      <c r="F17" s="13"/>
      <c r="G17" s="3">
        <f t="shared" si="0"/>
        <v>299800</v>
      </c>
      <c r="H17" s="2" t="str">
        <f t="shared" si="1"/>
        <v>CR</v>
      </c>
    </row>
    <row r="18" spans="1:8" x14ac:dyDescent="0.25">
      <c r="A18" s="9">
        <v>45660</v>
      </c>
      <c r="B18" s="34" t="s">
        <v>10</v>
      </c>
      <c r="C18" s="34" t="s">
        <v>1105</v>
      </c>
      <c r="D18" s="2" t="s">
        <v>1104</v>
      </c>
      <c r="E18" s="13"/>
      <c r="F18" s="13">
        <v>56900</v>
      </c>
      <c r="G18" s="3">
        <f t="shared" si="0"/>
        <v>356700</v>
      </c>
      <c r="H18" s="2" t="str">
        <f t="shared" si="1"/>
        <v>CR</v>
      </c>
    </row>
    <row r="19" spans="1:8" x14ac:dyDescent="0.25">
      <c r="A19" s="9">
        <v>46036</v>
      </c>
      <c r="B19" s="34" t="s">
        <v>10</v>
      </c>
      <c r="C19" s="34" t="s">
        <v>1106</v>
      </c>
      <c r="D19" s="2" t="s">
        <v>1114</v>
      </c>
      <c r="E19" s="13"/>
      <c r="F19" s="13">
        <v>12000</v>
      </c>
      <c r="G19" s="3">
        <f t="shared" si="0"/>
        <v>368700</v>
      </c>
      <c r="H19" s="2" t="str">
        <f t="shared" si="1"/>
        <v>CR</v>
      </c>
    </row>
    <row r="20" spans="1:8" x14ac:dyDescent="0.25">
      <c r="A20" s="9">
        <v>46036</v>
      </c>
      <c r="B20" s="34" t="s">
        <v>8</v>
      </c>
      <c r="C20" s="34" t="s">
        <v>8</v>
      </c>
      <c r="D20" s="2" t="s">
        <v>729</v>
      </c>
      <c r="E20" s="3">
        <v>50000</v>
      </c>
      <c r="F20" s="13"/>
      <c r="G20" s="3">
        <f t="shared" si="0"/>
        <v>318700</v>
      </c>
      <c r="H20" s="2" t="str">
        <f t="shared" si="1"/>
        <v>CR</v>
      </c>
    </row>
    <row r="21" spans="1:8" x14ac:dyDescent="0.25">
      <c r="A21" s="9">
        <v>45682</v>
      </c>
      <c r="B21" s="34" t="s">
        <v>10</v>
      </c>
      <c r="C21" s="34"/>
      <c r="D21" s="2" t="s">
        <v>1117</v>
      </c>
      <c r="E21" s="3"/>
      <c r="F21" s="13">
        <v>5000</v>
      </c>
      <c r="G21" s="3">
        <f t="shared" si="0"/>
        <v>323700</v>
      </c>
      <c r="H21" s="2" t="str">
        <f t="shared" si="1"/>
        <v>CR</v>
      </c>
    </row>
    <row r="22" spans="1:8" x14ac:dyDescent="0.25">
      <c r="A22" s="9">
        <v>46056</v>
      </c>
      <c r="B22" s="34" t="s">
        <v>8</v>
      </c>
      <c r="C22" s="34" t="s">
        <v>8</v>
      </c>
      <c r="D22" s="2" t="s">
        <v>729</v>
      </c>
      <c r="E22" s="3">
        <v>55400</v>
      </c>
      <c r="F22" s="3"/>
      <c r="G22" s="3">
        <f>G21+F22-E22</f>
        <v>268300</v>
      </c>
      <c r="H22" s="2" t="str">
        <f t="shared" si="1"/>
        <v>CR</v>
      </c>
    </row>
    <row r="23" spans="1:8" x14ac:dyDescent="0.25">
      <c r="A23" s="9">
        <v>46065</v>
      </c>
      <c r="B23" s="34" t="s">
        <v>10</v>
      </c>
      <c r="C23" s="34" t="s">
        <v>1118</v>
      </c>
      <c r="D23" s="2" t="s">
        <v>1104</v>
      </c>
      <c r="E23" s="3"/>
      <c r="F23" s="3">
        <v>116900</v>
      </c>
      <c r="G23" s="3">
        <f t="shared" si="0"/>
        <v>385200</v>
      </c>
      <c r="H23" s="2" t="str">
        <f t="shared" si="1"/>
        <v>CR</v>
      </c>
    </row>
    <row r="24" spans="1:8" x14ac:dyDescent="0.25">
      <c r="A24" s="9">
        <v>46065</v>
      </c>
      <c r="B24" s="34" t="s">
        <v>10</v>
      </c>
      <c r="C24" s="34" t="s">
        <v>1118</v>
      </c>
      <c r="D24" s="2" t="s">
        <v>1119</v>
      </c>
      <c r="E24" s="3"/>
      <c r="F24" s="3">
        <v>111500</v>
      </c>
      <c r="G24" s="3">
        <f t="shared" si="0"/>
        <v>496700</v>
      </c>
      <c r="H24" s="2" t="str">
        <f t="shared" si="1"/>
        <v>CR</v>
      </c>
    </row>
    <row r="25" spans="1:8" x14ac:dyDescent="0.25">
      <c r="A25" s="9">
        <v>46075</v>
      </c>
      <c r="B25" s="34" t="s">
        <v>8</v>
      </c>
      <c r="C25" s="34" t="s">
        <v>8</v>
      </c>
      <c r="D25" s="2" t="s">
        <v>729</v>
      </c>
      <c r="E25" s="3">
        <v>50000</v>
      </c>
      <c r="F25" s="3"/>
      <c r="G25" s="3">
        <f t="shared" si="0"/>
        <v>446700</v>
      </c>
      <c r="H25" s="2" t="str">
        <f t="shared" si="1"/>
        <v>CR</v>
      </c>
    </row>
    <row r="26" spans="1:8" x14ac:dyDescent="0.25">
      <c r="A26" s="9">
        <v>46085</v>
      </c>
      <c r="B26" s="34" t="s">
        <v>8</v>
      </c>
      <c r="C26" s="34" t="s">
        <v>8</v>
      </c>
      <c r="D26" s="2" t="s">
        <v>729</v>
      </c>
      <c r="E26" s="3">
        <v>30000</v>
      </c>
      <c r="F26" s="3"/>
      <c r="G26" s="3">
        <f t="shared" si="0"/>
        <v>416700</v>
      </c>
      <c r="H26" s="2" t="str">
        <f t="shared" si="1"/>
        <v>CR</v>
      </c>
    </row>
    <row r="27" spans="1:8" x14ac:dyDescent="0.25">
      <c r="A27" s="9">
        <v>46085</v>
      </c>
      <c r="B27" s="34" t="s">
        <v>8</v>
      </c>
      <c r="C27" s="34" t="s">
        <v>8</v>
      </c>
      <c r="D27" s="2" t="s">
        <v>1104</v>
      </c>
      <c r="E27" s="3"/>
      <c r="F27" s="3">
        <v>79000</v>
      </c>
      <c r="G27" s="3">
        <f t="shared" si="0"/>
        <v>495700</v>
      </c>
      <c r="H27" s="2" t="str">
        <f t="shared" si="1"/>
        <v>CR</v>
      </c>
    </row>
    <row r="28" spans="1:8" x14ac:dyDescent="0.25">
      <c r="A28" s="9">
        <v>46097</v>
      </c>
      <c r="B28" s="34" t="s">
        <v>8</v>
      </c>
      <c r="C28" s="34" t="s">
        <v>8</v>
      </c>
      <c r="D28" s="2" t="s">
        <v>729</v>
      </c>
      <c r="E28" s="3">
        <v>95700</v>
      </c>
      <c r="F28" s="3"/>
      <c r="G28" s="3">
        <f t="shared" si="0"/>
        <v>400000</v>
      </c>
      <c r="H28" s="2" t="str">
        <f t="shared" si="1"/>
        <v>CR</v>
      </c>
    </row>
    <row r="29" spans="1:8" x14ac:dyDescent="0.25">
      <c r="A29" s="9">
        <v>46107</v>
      </c>
      <c r="B29" s="34" t="s">
        <v>8</v>
      </c>
      <c r="C29" s="34" t="s">
        <v>8</v>
      </c>
      <c r="D29" s="2" t="s">
        <v>729</v>
      </c>
      <c r="E29" s="3">
        <v>50000</v>
      </c>
      <c r="F29" s="3"/>
      <c r="G29" s="3">
        <f t="shared" si="0"/>
        <v>350000</v>
      </c>
      <c r="H29" s="2" t="str">
        <f t="shared" si="1"/>
        <v>CR</v>
      </c>
    </row>
    <row r="30" spans="1:8" x14ac:dyDescent="0.25">
      <c r="A30" s="9">
        <v>46139</v>
      </c>
      <c r="B30" s="34" t="s">
        <v>10</v>
      </c>
      <c r="C30" s="34" t="s">
        <v>1166</v>
      </c>
      <c r="D30" s="2" t="s">
        <v>1104</v>
      </c>
      <c r="E30" s="3"/>
      <c r="F30" s="3">
        <v>67800</v>
      </c>
      <c r="G30" s="3">
        <f t="shared" si="0"/>
        <v>417800</v>
      </c>
      <c r="H30" s="2" t="str">
        <f t="shared" si="1"/>
        <v>CR</v>
      </c>
    </row>
    <row r="31" spans="1:8" x14ac:dyDescent="0.25">
      <c r="A31" s="9">
        <v>46161</v>
      </c>
      <c r="B31" s="34" t="s">
        <v>10</v>
      </c>
      <c r="C31" s="34" t="s">
        <v>1166</v>
      </c>
      <c r="D31" s="2" t="s">
        <v>1185</v>
      </c>
      <c r="E31" s="3"/>
      <c r="F31" s="3">
        <v>9000</v>
      </c>
      <c r="G31" s="3">
        <f t="shared" si="0"/>
        <v>426800</v>
      </c>
      <c r="H31" s="2" t="str">
        <f t="shared" si="1"/>
        <v>CR</v>
      </c>
    </row>
    <row r="32" spans="1:8" x14ac:dyDescent="0.25">
      <c r="A32" s="9">
        <v>46161</v>
      </c>
      <c r="B32" s="34" t="s">
        <v>8</v>
      </c>
      <c r="C32" s="34" t="s">
        <v>8</v>
      </c>
      <c r="D32" s="2" t="s">
        <v>729</v>
      </c>
      <c r="E32" s="3">
        <v>126800</v>
      </c>
      <c r="F32" s="3"/>
      <c r="G32" s="3">
        <f t="shared" si="0"/>
        <v>300000</v>
      </c>
      <c r="H32" s="2" t="str">
        <f t="shared" si="1"/>
        <v>CR</v>
      </c>
    </row>
    <row r="33" spans="1:8" x14ac:dyDescent="0.25">
      <c r="A33" s="9">
        <v>46179</v>
      </c>
      <c r="B33" s="34" t="s">
        <v>10</v>
      </c>
      <c r="C33" s="34" t="s">
        <v>1191</v>
      </c>
      <c r="D33" s="2" t="s">
        <v>1185</v>
      </c>
      <c r="E33" s="3"/>
      <c r="F33" s="3">
        <v>55600</v>
      </c>
      <c r="G33" s="3">
        <f t="shared" si="0"/>
        <v>355600</v>
      </c>
      <c r="H33" s="2" t="str">
        <f t="shared" si="1"/>
        <v>CR</v>
      </c>
    </row>
    <row r="34" spans="1:8" x14ac:dyDescent="0.25">
      <c r="A34" s="9">
        <v>46189</v>
      </c>
      <c r="B34" s="34" t="s">
        <v>10</v>
      </c>
      <c r="C34" s="34" t="s">
        <v>1191</v>
      </c>
      <c r="D34" s="2" t="s">
        <v>1198</v>
      </c>
      <c r="E34" s="3"/>
      <c r="F34" s="3">
        <v>17000</v>
      </c>
      <c r="G34" s="3">
        <f t="shared" si="0"/>
        <v>372600</v>
      </c>
      <c r="H34" s="2" t="str">
        <f t="shared" si="1"/>
        <v>CR</v>
      </c>
    </row>
    <row r="35" spans="1:8" x14ac:dyDescent="0.25">
      <c r="A35" s="9">
        <v>46196</v>
      </c>
      <c r="B35" s="34" t="s">
        <v>8</v>
      </c>
      <c r="C35" s="34" t="s">
        <v>8</v>
      </c>
      <c r="D35" s="2" t="s">
        <v>729</v>
      </c>
      <c r="E35" s="3">
        <v>35000</v>
      </c>
      <c r="F35" s="3"/>
      <c r="G35" s="3">
        <f t="shared" si="0"/>
        <v>337600</v>
      </c>
      <c r="H35" s="2" t="str">
        <f t="shared" si="1"/>
        <v>CR</v>
      </c>
    </row>
    <row r="36" spans="1:8" ht="15.75" x14ac:dyDescent="0.25">
      <c r="A36" s="10"/>
      <c r="B36" s="4"/>
      <c r="C36" s="4"/>
      <c r="D36" s="4" t="s">
        <v>9</v>
      </c>
      <c r="E36" s="5">
        <f>SUM(E6:E35)</f>
        <v>829400</v>
      </c>
      <c r="F36" s="5">
        <f>SUM(F6:F35)</f>
        <v>919100</v>
      </c>
      <c r="G36" s="35">
        <f>G5+F36-E36</f>
        <v>337600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hyperlinks>
    <hyperlink ref="J1" location="'PAYABLES-2024'!A1" display="PAYABLE HOME" xr:uid="{53ACCECD-2CDD-4BAA-85BF-D43B1991E77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A2D5-F459-4BF9-BF87-826D45A38A4C}">
  <dimension ref="A1:J36"/>
  <sheetViews>
    <sheetView workbookViewId="0">
      <selection activeCell="J1" sqref="J1"/>
    </sheetView>
  </sheetViews>
  <sheetFormatPr defaultRowHeight="15" x14ac:dyDescent="0.25"/>
  <cols>
    <col min="1" max="1" width="13.85546875" customWidth="1"/>
    <col min="2" max="2" width="15.7109375" customWidth="1"/>
    <col min="3" max="3" width="14.140625" customWidth="1"/>
    <col min="4" max="4" width="36.7109375" customWidth="1"/>
    <col min="5" max="6" width="10.5703125" bestFit="1" customWidth="1"/>
    <col min="7" max="7" width="9.85546875" bestFit="1" customWidth="1"/>
    <col min="8" max="8" width="8.5703125" customWidth="1"/>
    <col min="10" max="10" width="14.7109375" bestFit="1" customWidth="1"/>
  </cols>
  <sheetData>
    <row r="1" spans="1:10" ht="18.75" x14ac:dyDescent="0.3">
      <c r="A1" s="95" t="s">
        <v>0</v>
      </c>
      <c r="B1" s="95"/>
      <c r="C1" s="95"/>
      <c r="D1" s="95"/>
      <c r="E1" s="95"/>
      <c r="F1" s="95"/>
      <c r="G1" s="95"/>
      <c r="H1" s="95"/>
      <c r="J1" s="42" t="s">
        <v>670</v>
      </c>
    </row>
    <row r="2" spans="1:10" ht="15.75" x14ac:dyDescent="0.25">
      <c r="A2" s="96" t="s">
        <v>583</v>
      </c>
      <c r="B2" s="96"/>
      <c r="C2" s="96"/>
      <c r="D2" s="96"/>
      <c r="E2" s="96"/>
      <c r="F2" s="96"/>
      <c r="G2" s="96"/>
      <c r="H2" s="96"/>
    </row>
    <row r="3" spans="1:10" x14ac:dyDescent="0.25">
      <c r="A3" s="97" t="s">
        <v>581</v>
      </c>
      <c r="B3" s="97"/>
      <c r="C3" s="97"/>
      <c r="D3" s="97"/>
      <c r="E3" s="97"/>
      <c r="F3" s="97"/>
      <c r="G3" s="97"/>
      <c r="H3" s="97"/>
    </row>
    <row r="4" spans="1:10" x14ac:dyDescent="0.25">
      <c r="A4" s="8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7" t="s">
        <v>6</v>
      </c>
      <c r="G4" s="98" t="s">
        <v>7</v>
      </c>
      <c r="H4" s="98"/>
    </row>
    <row r="5" spans="1:10" x14ac:dyDescent="0.25">
      <c r="A5" s="9"/>
      <c r="B5" s="2"/>
      <c r="C5" s="2"/>
      <c r="D5" s="2"/>
      <c r="E5" s="3"/>
      <c r="F5" s="3"/>
      <c r="G5" s="3">
        <f>' ZAFAR &amp; SONS RWP 4  '!G36</f>
        <v>337600</v>
      </c>
      <c r="H5" s="2"/>
    </row>
    <row r="6" spans="1:10" x14ac:dyDescent="0.25">
      <c r="A6" s="9">
        <v>46211</v>
      </c>
      <c r="B6" s="34" t="s">
        <v>8</v>
      </c>
      <c r="C6" s="34" t="s">
        <v>8</v>
      </c>
      <c r="D6" s="2" t="s">
        <v>729</v>
      </c>
      <c r="E6" s="13">
        <v>50000</v>
      </c>
      <c r="F6" s="13"/>
      <c r="G6" s="3">
        <f>G5+F6-E6</f>
        <v>287600</v>
      </c>
      <c r="H6" s="2" t="str">
        <f>IF(G6=0,"NIL",IF(G6&gt;0,"CR","DR"))</f>
        <v>CR</v>
      </c>
    </row>
    <row r="7" spans="1:10" x14ac:dyDescent="0.25">
      <c r="A7" s="9">
        <v>46215</v>
      </c>
      <c r="B7" s="34" t="s">
        <v>10</v>
      </c>
      <c r="C7" s="34" t="s">
        <v>1207</v>
      </c>
      <c r="D7" s="2" t="s">
        <v>1208</v>
      </c>
      <c r="E7" s="13"/>
      <c r="F7" s="13">
        <v>103200</v>
      </c>
      <c r="G7" s="3">
        <f t="shared" ref="G7:G35" si="0">G6+F7-E7</f>
        <v>390800</v>
      </c>
      <c r="H7" s="2" t="str">
        <f t="shared" ref="H7:H36" si="1">IF(G7=0,"NIL",IF(G7&gt;0,"CR","DR"))</f>
        <v>CR</v>
      </c>
    </row>
    <row r="8" spans="1:10" x14ac:dyDescent="0.25">
      <c r="A8" s="9">
        <v>46217</v>
      </c>
      <c r="B8" s="34" t="s">
        <v>8</v>
      </c>
      <c r="C8" s="34" t="s">
        <v>8</v>
      </c>
      <c r="D8" s="2" t="s">
        <v>729</v>
      </c>
      <c r="E8" s="13">
        <v>140000</v>
      </c>
      <c r="F8" s="13"/>
      <c r="G8" s="3">
        <f t="shared" si="0"/>
        <v>250800</v>
      </c>
      <c r="H8" s="2" t="str">
        <f t="shared" si="1"/>
        <v>CR</v>
      </c>
    </row>
    <row r="9" spans="1:10" x14ac:dyDescent="0.25">
      <c r="A9" s="9">
        <v>46218</v>
      </c>
      <c r="B9" s="34" t="s">
        <v>10</v>
      </c>
      <c r="C9" s="34" t="s">
        <v>1213</v>
      </c>
      <c r="D9" s="2" t="s">
        <v>1214</v>
      </c>
      <c r="E9" s="13"/>
      <c r="F9" s="13">
        <v>32500</v>
      </c>
      <c r="G9" s="3">
        <f>G8+F9-E9</f>
        <v>283300</v>
      </c>
      <c r="H9" s="2" t="str">
        <f t="shared" si="1"/>
        <v>CR</v>
      </c>
    </row>
    <row r="10" spans="1:10" x14ac:dyDescent="0.25">
      <c r="A10" s="9">
        <v>46230</v>
      </c>
      <c r="B10" s="34" t="s">
        <v>8</v>
      </c>
      <c r="C10" s="34" t="s">
        <v>8</v>
      </c>
      <c r="D10" s="2" t="s">
        <v>729</v>
      </c>
      <c r="E10" s="13">
        <v>40000</v>
      </c>
      <c r="F10" s="13"/>
      <c r="G10" s="3">
        <f t="shared" si="0"/>
        <v>243300</v>
      </c>
      <c r="H10" s="2" t="str">
        <f t="shared" si="1"/>
        <v>CR</v>
      </c>
    </row>
    <row r="11" spans="1:10" x14ac:dyDescent="0.25">
      <c r="A11" s="9">
        <v>46232</v>
      </c>
      <c r="B11" s="34" t="s">
        <v>10</v>
      </c>
      <c r="C11" s="34" t="s">
        <v>1219</v>
      </c>
      <c r="D11" s="2" t="s">
        <v>1208</v>
      </c>
      <c r="E11" s="13"/>
      <c r="F11" s="13">
        <v>147400</v>
      </c>
      <c r="G11" s="3">
        <f t="shared" si="0"/>
        <v>390700</v>
      </c>
      <c r="H11" s="2" t="str">
        <f t="shared" si="1"/>
        <v>CR</v>
      </c>
    </row>
    <row r="12" spans="1:10" x14ac:dyDescent="0.25">
      <c r="A12" s="9">
        <v>46240</v>
      </c>
      <c r="B12" s="34" t="s">
        <v>8</v>
      </c>
      <c r="C12" s="34" t="s">
        <v>8</v>
      </c>
      <c r="D12" s="2" t="s">
        <v>729</v>
      </c>
      <c r="E12" s="13">
        <v>50000</v>
      </c>
      <c r="F12" s="13"/>
      <c r="G12" s="3">
        <f t="shared" si="0"/>
        <v>340700</v>
      </c>
      <c r="H12" s="2" t="str">
        <f t="shared" si="1"/>
        <v>CR</v>
      </c>
    </row>
    <row r="13" spans="1:10" x14ac:dyDescent="0.25">
      <c r="A13" s="9">
        <v>46242</v>
      </c>
      <c r="B13" s="34" t="s">
        <v>10</v>
      </c>
      <c r="C13" s="34" t="s">
        <v>1230</v>
      </c>
      <c r="D13" s="2" t="s">
        <v>1231</v>
      </c>
      <c r="E13" s="13"/>
      <c r="F13" s="13">
        <v>29000</v>
      </c>
      <c r="G13" s="3">
        <f t="shared" si="0"/>
        <v>369700</v>
      </c>
      <c r="H13" s="2" t="str">
        <f t="shared" si="1"/>
        <v>CR</v>
      </c>
    </row>
    <row r="14" spans="1:10" x14ac:dyDescent="0.25">
      <c r="A14" s="9">
        <v>46246</v>
      </c>
      <c r="B14" s="34" t="s">
        <v>8</v>
      </c>
      <c r="C14" s="34" t="s">
        <v>8</v>
      </c>
      <c r="D14" s="2" t="s">
        <v>729</v>
      </c>
      <c r="E14" s="13">
        <v>30000</v>
      </c>
      <c r="F14" s="13"/>
      <c r="G14" s="3">
        <f t="shared" si="0"/>
        <v>339700</v>
      </c>
      <c r="H14" s="2" t="str">
        <f t="shared" si="1"/>
        <v>CR</v>
      </c>
    </row>
    <row r="15" spans="1:10" x14ac:dyDescent="0.25">
      <c r="A15" s="9">
        <v>46251</v>
      </c>
      <c r="B15" s="34" t="s">
        <v>10</v>
      </c>
      <c r="C15" s="34" t="s">
        <v>1242</v>
      </c>
      <c r="D15" s="2" t="s">
        <v>1214</v>
      </c>
      <c r="E15" s="13"/>
      <c r="F15" s="13">
        <v>22000</v>
      </c>
      <c r="G15" s="3">
        <f t="shared" si="0"/>
        <v>361700</v>
      </c>
      <c r="H15" s="2" t="str">
        <f t="shared" si="1"/>
        <v>CR</v>
      </c>
    </row>
    <row r="16" spans="1:10" x14ac:dyDescent="0.25">
      <c r="A16" s="9"/>
      <c r="B16" s="34"/>
      <c r="C16" s="34"/>
      <c r="D16" s="2"/>
      <c r="E16" s="13"/>
      <c r="F16" s="13"/>
      <c r="G16" s="3">
        <f>G15+F16-E16</f>
        <v>361700</v>
      </c>
      <c r="H16" s="2" t="str">
        <f t="shared" si="1"/>
        <v>CR</v>
      </c>
    </row>
    <row r="17" spans="1:8" x14ac:dyDescent="0.25">
      <c r="A17" s="9"/>
      <c r="B17" s="34"/>
      <c r="C17" s="34"/>
      <c r="D17" s="2"/>
      <c r="E17" s="13"/>
      <c r="F17" s="13"/>
      <c r="G17" s="3">
        <f t="shared" si="0"/>
        <v>361700</v>
      </c>
      <c r="H17" s="2" t="str">
        <f t="shared" si="1"/>
        <v>CR</v>
      </c>
    </row>
    <row r="18" spans="1:8" x14ac:dyDescent="0.25">
      <c r="A18" s="9"/>
      <c r="B18" s="34"/>
      <c r="C18" s="34"/>
      <c r="D18" s="2"/>
      <c r="E18" s="13"/>
      <c r="F18" s="13"/>
      <c r="G18" s="3">
        <f t="shared" si="0"/>
        <v>361700</v>
      </c>
      <c r="H18" s="2" t="str">
        <f t="shared" si="1"/>
        <v>CR</v>
      </c>
    </row>
    <row r="19" spans="1:8" x14ac:dyDescent="0.25">
      <c r="A19" s="9"/>
      <c r="B19" s="34"/>
      <c r="C19" s="34"/>
      <c r="D19" s="2"/>
      <c r="E19" s="13"/>
      <c r="F19" s="13"/>
      <c r="G19" s="3">
        <f t="shared" si="0"/>
        <v>361700</v>
      </c>
      <c r="H19" s="2" t="str">
        <f t="shared" si="1"/>
        <v>CR</v>
      </c>
    </row>
    <row r="20" spans="1:8" x14ac:dyDescent="0.25">
      <c r="A20" s="9"/>
      <c r="B20" s="34"/>
      <c r="C20" s="34"/>
      <c r="D20" s="2"/>
      <c r="E20" s="3"/>
      <c r="F20" s="13"/>
      <c r="G20" s="3">
        <f t="shared" si="0"/>
        <v>361700</v>
      </c>
      <c r="H20" s="2" t="str">
        <f t="shared" si="1"/>
        <v>CR</v>
      </c>
    </row>
    <row r="21" spans="1:8" x14ac:dyDescent="0.25">
      <c r="A21" s="9"/>
      <c r="B21" s="34"/>
      <c r="C21" s="34"/>
      <c r="D21" s="2"/>
      <c r="E21" s="3"/>
      <c r="F21" s="13"/>
      <c r="G21" s="3">
        <f t="shared" si="0"/>
        <v>361700</v>
      </c>
      <c r="H21" s="2" t="str">
        <f t="shared" si="1"/>
        <v>CR</v>
      </c>
    </row>
    <row r="22" spans="1:8" x14ac:dyDescent="0.25">
      <c r="A22" s="9"/>
      <c r="B22" s="34"/>
      <c r="C22" s="34"/>
      <c r="D22" s="2"/>
      <c r="E22" s="3"/>
      <c r="F22" s="3"/>
      <c r="G22" s="3">
        <f>G21+F22-E22</f>
        <v>361700</v>
      </c>
      <c r="H22" s="2" t="str">
        <f t="shared" si="1"/>
        <v>CR</v>
      </c>
    </row>
    <row r="23" spans="1:8" x14ac:dyDescent="0.25">
      <c r="A23" s="9"/>
      <c r="B23" s="34"/>
      <c r="C23" s="34"/>
      <c r="D23" s="2"/>
      <c r="E23" s="3"/>
      <c r="F23" s="3"/>
      <c r="G23" s="3">
        <f t="shared" si="0"/>
        <v>361700</v>
      </c>
      <c r="H23" s="2" t="str">
        <f t="shared" si="1"/>
        <v>CR</v>
      </c>
    </row>
    <row r="24" spans="1:8" x14ac:dyDescent="0.25">
      <c r="A24" s="9"/>
      <c r="B24" s="34"/>
      <c r="C24" s="34"/>
      <c r="D24" s="2"/>
      <c r="E24" s="3"/>
      <c r="F24" s="3"/>
      <c r="G24" s="3">
        <f t="shared" si="0"/>
        <v>361700</v>
      </c>
      <c r="H24" s="2" t="str">
        <f t="shared" si="1"/>
        <v>CR</v>
      </c>
    </row>
    <row r="25" spans="1:8" x14ac:dyDescent="0.25">
      <c r="A25" s="9"/>
      <c r="B25" s="34"/>
      <c r="C25" s="34"/>
      <c r="D25" s="2"/>
      <c r="E25" s="3"/>
      <c r="F25" s="3"/>
      <c r="G25" s="3">
        <f t="shared" si="0"/>
        <v>361700</v>
      </c>
      <c r="H25" s="2" t="str">
        <f t="shared" si="1"/>
        <v>CR</v>
      </c>
    </row>
    <row r="26" spans="1:8" x14ac:dyDescent="0.25">
      <c r="A26" s="9"/>
      <c r="B26" s="34"/>
      <c r="C26" s="34"/>
      <c r="D26" s="2"/>
      <c r="E26" s="3"/>
      <c r="F26" s="3"/>
      <c r="G26" s="3">
        <f t="shared" si="0"/>
        <v>361700</v>
      </c>
      <c r="H26" s="2" t="str">
        <f t="shared" si="1"/>
        <v>CR</v>
      </c>
    </row>
    <row r="27" spans="1:8" x14ac:dyDescent="0.25">
      <c r="A27" s="9"/>
      <c r="B27" s="34"/>
      <c r="C27" s="34"/>
      <c r="D27" s="2"/>
      <c r="E27" s="3"/>
      <c r="F27" s="3"/>
      <c r="G27" s="3">
        <f t="shared" si="0"/>
        <v>361700</v>
      </c>
      <c r="H27" s="2" t="str">
        <f t="shared" si="1"/>
        <v>CR</v>
      </c>
    </row>
    <row r="28" spans="1:8" x14ac:dyDescent="0.25">
      <c r="A28" s="9"/>
      <c r="B28" s="34"/>
      <c r="C28" s="34"/>
      <c r="D28" s="2"/>
      <c r="E28" s="3"/>
      <c r="F28" s="3"/>
      <c r="G28" s="3">
        <f t="shared" si="0"/>
        <v>361700</v>
      </c>
      <c r="H28" s="2" t="str">
        <f t="shared" si="1"/>
        <v>CR</v>
      </c>
    </row>
    <row r="29" spans="1:8" x14ac:dyDescent="0.25">
      <c r="A29" s="9"/>
      <c r="B29" s="34"/>
      <c r="C29" s="34"/>
      <c r="D29" s="2"/>
      <c r="E29" s="3"/>
      <c r="F29" s="3"/>
      <c r="G29" s="3">
        <f t="shared" si="0"/>
        <v>361700</v>
      </c>
      <c r="H29" s="2" t="str">
        <f t="shared" si="1"/>
        <v>CR</v>
      </c>
    </row>
    <row r="30" spans="1:8" x14ac:dyDescent="0.25">
      <c r="A30" s="9"/>
      <c r="B30" s="34"/>
      <c r="C30" s="34"/>
      <c r="D30" s="2"/>
      <c r="E30" s="3"/>
      <c r="F30" s="3"/>
      <c r="G30" s="3">
        <f t="shared" si="0"/>
        <v>361700</v>
      </c>
      <c r="H30" s="2" t="str">
        <f t="shared" si="1"/>
        <v>CR</v>
      </c>
    </row>
    <row r="31" spans="1:8" x14ac:dyDescent="0.25">
      <c r="A31" s="9"/>
      <c r="B31" s="34"/>
      <c r="C31" s="34"/>
      <c r="D31" s="2"/>
      <c r="E31" s="3"/>
      <c r="F31" s="3"/>
      <c r="G31" s="3">
        <f t="shared" si="0"/>
        <v>361700</v>
      </c>
      <c r="H31" s="2" t="str">
        <f t="shared" si="1"/>
        <v>CR</v>
      </c>
    </row>
    <row r="32" spans="1:8" x14ac:dyDescent="0.25">
      <c r="A32" s="9"/>
      <c r="B32" s="34"/>
      <c r="C32" s="34"/>
      <c r="D32" s="2"/>
      <c r="E32" s="3"/>
      <c r="F32" s="3"/>
      <c r="G32" s="3">
        <f t="shared" si="0"/>
        <v>361700</v>
      </c>
      <c r="H32" s="2" t="str">
        <f t="shared" si="1"/>
        <v>CR</v>
      </c>
    </row>
    <row r="33" spans="1:8" x14ac:dyDescent="0.25">
      <c r="A33" s="9"/>
      <c r="B33" s="34"/>
      <c r="C33" s="34"/>
      <c r="D33" s="2"/>
      <c r="E33" s="3"/>
      <c r="F33" s="3"/>
      <c r="G33" s="3">
        <f t="shared" si="0"/>
        <v>361700</v>
      </c>
      <c r="H33" s="2" t="str">
        <f t="shared" si="1"/>
        <v>CR</v>
      </c>
    </row>
    <row r="34" spans="1:8" x14ac:dyDescent="0.25">
      <c r="A34" s="9"/>
      <c r="B34" s="34"/>
      <c r="C34" s="34"/>
      <c r="D34" s="2"/>
      <c r="E34" s="3"/>
      <c r="F34" s="3"/>
      <c r="G34" s="3">
        <f t="shared" si="0"/>
        <v>361700</v>
      </c>
      <c r="H34" s="2" t="str">
        <f t="shared" si="1"/>
        <v>CR</v>
      </c>
    </row>
    <row r="35" spans="1:8" x14ac:dyDescent="0.25">
      <c r="A35" s="9"/>
      <c r="B35" s="34"/>
      <c r="C35" s="34"/>
      <c r="D35" s="2"/>
      <c r="E35" s="3"/>
      <c r="F35" s="3"/>
      <c r="G35" s="3">
        <f t="shared" si="0"/>
        <v>361700</v>
      </c>
      <c r="H35" s="2" t="str">
        <f t="shared" si="1"/>
        <v>CR</v>
      </c>
    </row>
    <row r="36" spans="1:8" ht="15.75" x14ac:dyDescent="0.25">
      <c r="A36" s="10"/>
      <c r="B36" s="4"/>
      <c r="C36" s="4"/>
      <c r="D36" s="4" t="s">
        <v>9</v>
      </c>
      <c r="E36" s="5">
        <f>SUM(E6:E35)</f>
        <v>310000</v>
      </c>
      <c r="F36" s="5">
        <f>SUM(F6:F35)</f>
        <v>334100</v>
      </c>
      <c r="G36" s="35">
        <f>G5+F36-E36</f>
        <v>361700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hyperlinks>
    <hyperlink ref="J1" location="'PAYABLES-2024'!A1" display="PAYABLE HOME" xr:uid="{3FDE916D-5D0E-484D-9F52-D60F0D8A7205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6"/>
  <sheetViews>
    <sheetView zoomScaleNormal="100" workbookViewId="0">
      <pane ySplit="4" topLeftCell="A5" activePane="bottomLeft" state="frozen"/>
      <selection pane="bottomLeft" activeCell="D10" sqref="D10"/>
    </sheetView>
  </sheetViews>
  <sheetFormatPr defaultRowHeight="15" x14ac:dyDescent="0.25"/>
  <cols>
    <col min="1" max="1" width="12.140625" style="11" bestFit="1" customWidth="1"/>
    <col min="2" max="2" width="12" bestFit="1" customWidth="1"/>
    <col min="3" max="3" width="16.5703125" bestFit="1" customWidth="1"/>
    <col min="4" max="4" width="32.42578125" bestFit="1" customWidth="1"/>
    <col min="5" max="7" width="9" style="1" bestFit="1" customWidth="1"/>
    <col min="8" max="8" width="3.28515625" bestFit="1" customWidth="1"/>
  </cols>
  <sheetData>
    <row r="1" spans="1:8" ht="18.75" x14ac:dyDescent="0.3">
      <c r="A1" s="95" t="s">
        <v>0</v>
      </c>
      <c r="B1" s="95"/>
      <c r="C1" s="95"/>
      <c r="D1" s="95"/>
      <c r="E1" s="95"/>
      <c r="F1" s="95"/>
      <c r="G1" s="95"/>
      <c r="H1" s="95"/>
    </row>
    <row r="2" spans="1:8" ht="15.75" x14ac:dyDescent="0.25">
      <c r="A2" s="96" t="s">
        <v>12</v>
      </c>
      <c r="B2" s="96"/>
      <c r="C2" s="96"/>
      <c r="D2" s="96"/>
      <c r="E2" s="96"/>
      <c r="F2" s="96"/>
      <c r="G2" s="96"/>
      <c r="H2" s="96"/>
    </row>
    <row r="3" spans="1:8" x14ac:dyDescent="0.25">
      <c r="A3" s="97" t="s">
        <v>13</v>
      </c>
      <c r="B3" s="97"/>
      <c r="C3" s="97"/>
      <c r="D3" s="97"/>
      <c r="E3" s="97"/>
      <c r="F3" s="97"/>
      <c r="G3" s="97"/>
      <c r="H3" s="97"/>
    </row>
    <row r="4" spans="1:8" ht="21" customHeight="1" x14ac:dyDescent="0.25">
      <c r="A4" s="8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7" t="s">
        <v>6</v>
      </c>
      <c r="G4" s="98" t="s">
        <v>7</v>
      </c>
      <c r="H4" s="98"/>
    </row>
    <row r="5" spans="1:8" ht="21" customHeight="1" x14ac:dyDescent="0.25">
      <c r="A5" s="9"/>
      <c r="B5" s="2"/>
      <c r="C5" s="2"/>
      <c r="D5" s="2"/>
      <c r="E5" s="3"/>
      <c r="F5" s="3"/>
      <c r="G5" s="3"/>
      <c r="H5" s="2"/>
    </row>
    <row r="6" spans="1:8" ht="21" customHeight="1" x14ac:dyDescent="0.25">
      <c r="A6" s="9">
        <v>43663</v>
      </c>
      <c r="B6" s="2" t="s">
        <v>10</v>
      </c>
      <c r="C6" s="2" t="s">
        <v>14</v>
      </c>
      <c r="D6" s="2" t="s">
        <v>15</v>
      </c>
      <c r="E6" s="13">
        <v>0</v>
      </c>
      <c r="F6" s="13">
        <v>5150</v>
      </c>
      <c r="G6" s="3">
        <f>G5+F6-E6</f>
        <v>5150</v>
      </c>
      <c r="H6" s="2" t="str">
        <f>IF(G6=0,"NIL",IF(G6&gt;0,"CR","DR"))</f>
        <v>CR</v>
      </c>
    </row>
    <row r="7" spans="1:8" ht="21" customHeight="1" x14ac:dyDescent="0.25">
      <c r="A7" s="9">
        <v>43663</v>
      </c>
      <c r="B7" s="2" t="s">
        <v>10</v>
      </c>
      <c r="C7" s="2" t="s">
        <v>16</v>
      </c>
      <c r="D7" s="2" t="s">
        <v>17</v>
      </c>
      <c r="E7" s="13">
        <v>0</v>
      </c>
      <c r="F7" s="13">
        <v>5150</v>
      </c>
      <c r="G7" s="3">
        <f t="shared" ref="G7:G35" si="0">G6+F7-E7</f>
        <v>10300</v>
      </c>
      <c r="H7" s="2" t="str">
        <f t="shared" ref="H7:H36" si="1">IF(G7=0,"NIL",IF(G7&gt;0,"CR","DR"))</f>
        <v>CR</v>
      </c>
    </row>
    <row r="8" spans="1:8" ht="21" customHeight="1" x14ac:dyDescent="0.25">
      <c r="A8" s="9">
        <v>43668</v>
      </c>
      <c r="B8" s="2" t="s">
        <v>8</v>
      </c>
      <c r="C8" s="12" t="s">
        <v>18</v>
      </c>
      <c r="D8" s="2" t="s">
        <v>11</v>
      </c>
      <c r="E8" s="13">
        <v>10300</v>
      </c>
      <c r="F8" s="13">
        <v>0</v>
      </c>
      <c r="G8" s="3">
        <f t="shared" si="0"/>
        <v>0</v>
      </c>
      <c r="H8" s="2" t="str">
        <f t="shared" si="1"/>
        <v>NIL</v>
      </c>
    </row>
    <row r="9" spans="1:8" ht="21" customHeight="1" x14ac:dyDescent="0.25">
      <c r="A9" s="9">
        <v>43668</v>
      </c>
      <c r="B9" s="2" t="s">
        <v>10</v>
      </c>
      <c r="C9" s="12" t="s">
        <v>19</v>
      </c>
      <c r="D9" s="2" t="s">
        <v>20</v>
      </c>
      <c r="E9" s="13">
        <v>0</v>
      </c>
      <c r="F9" s="13">
        <v>5200</v>
      </c>
      <c r="G9" s="3">
        <f t="shared" si="0"/>
        <v>5200</v>
      </c>
      <c r="H9" s="2" t="str">
        <f t="shared" si="1"/>
        <v>CR</v>
      </c>
    </row>
    <row r="10" spans="1:8" ht="21" customHeight="1" x14ac:dyDescent="0.25">
      <c r="A10" s="9">
        <v>43675</v>
      </c>
      <c r="B10" s="2" t="s">
        <v>8</v>
      </c>
      <c r="C10" s="12" t="s">
        <v>21</v>
      </c>
      <c r="D10" s="2" t="s">
        <v>11</v>
      </c>
      <c r="E10" s="13">
        <v>5200</v>
      </c>
      <c r="F10" s="13">
        <v>0</v>
      </c>
      <c r="G10" s="3">
        <f t="shared" si="0"/>
        <v>0</v>
      </c>
      <c r="H10" s="2" t="str">
        <f t="shared" si="1"/>
        <v>NIL</v>
      </c>
    </row>
    <row r="11" spans="1:8" ht="21" customHeight="1" x14ac:dyDescent="0.25">
      <c r="A11" s="9">
        <v>43678</v>
      </c>
      <c r="B11" s="2" t="s">
        <v>10</v>
      </c>
      <c r="C11" s="12" t="s">
        <v>22</v>
      </c>
      <c r="D11" s="2" t="s">
        <v>23</v>
      </c>
      <c r="E11" s="13">
        <v>0</v>
      </c>
      <c r="F11" s="13">
        <v>1300</v>
      </c>
      <c r="G11" s="3">
        <f t="shared" si="0"/>
        <v>1300</v>
      </c>
      <c r="H11" s="2" t="str">
        <f t="shared" si="1"/>
        <v>CR</v>
      </c>
    </row>
    <row r="12" spans="1:8" ht="21" customHeight="1" x14ac:dyDescent="0.25">
      <c r="A12" s="9">
        <v>43678</v>
      </c>
      <c r="B12" s="2" t="s">
        <v>10</v>
      </c>
      <c r="C12" s="12" t="s">
        <v>24</v>
      </c>
      <c r="D12" s="2" t="s">
        <v>25</v>
      </c>
      <c r="E12" s="13">
        <v>0</v>
      </c>
      <c r="F12" s="13">
        <v>1800</v>
      </c>
      <c r="G12" s="3">
        <f t="shared" si="0"/>
        <v>3100</v>
      </c>
      <c r="H12" s="2" t="str">
        <f t="shared" si="1"/>
        <v>CR</v>
      </c>
    </row>
    <row r="13" spans="1:8" ht="21" customHeight="1" x14ac:dyDescent="0.25">
      <c r="A13" s="9">
        <v>43677</v>
      </c>
      <c r="B13" s="2" t="s">
        <v>10</v>
      </c>
      <c r="C13" s="12" t="s">
        <v>26</v>
      </c>
      <c r="D13" s="2" t="s">
        <v>23</v>
      </c>
      <c r="E13" s="13">
        <v>0</v>
      </c>
      <c r="F13" s="13">
        <v>1100</v>
      </c>
      <c r="G13" s="3">
        <f t="shared" si="0"/>
        <v>4200</v>
      </c>
      <c r="H13" s="2" t="str">
        <f t="shared" si="1"/>
        <v>CR</v>
      </c>
    </row>
    <row r="14" spans="1:8" ht="21" customHeight="1" x14ac:dyDescent="0.25">
      <c r="A14" s="9">
        <v>43680</v>
      </c>
      <c r="B14" s="2" t="s">
        <v>10</v>
      </c>
      <c r="C14" s="12" t="s">
        <v>27</v>
      </c>
      <c r="D14" s="2" t="s">
        <v>28</v>
      </c>
      <c r="E14" s="13">
        <v>0</v>
      </c>
      <c r="F14" s="13">
        <v>1900</v>
      </c>
      <c r="G14" s="3">
        <f t="shared" si="0"/>
        <v>6100</v>
      </c>
      <c r="H14" s="2" t="str">
        <f t="shared" si="1"/>
        <v>CR</v>
      </c>
    </row>
    <row r="15" spans="1:8" ht="21" customHeight="1" x14ac:dyDescent="0.25">
      <c r="A15" s="9">
        <v>43682</v>
      </c>
      <c r="B15" s="2" t="s">
        <v>10</v>
      </c>
      <c r="C15" s="12" t="s">
        <v>30</v>
      </c>
      <c r="D15" s="2" t="s">
        <v>31</v>
      </c>
      <c r="E15" s="13">
        <v>0</v>
      </c>
      <c r="F15" s="13">
        <v>2600</v>
      </c>
      <c r="G15" s="3">
        <f t="shared" si="0"/>
        <v>8700</v>
      </c>
      <c r="H15" s="2" t="str">
        <f t="shared" si="1"/>
        <v>CR</v>
      </c>
    </row>
    <row r="16" spans="1:8" ht="21" customHeight="1" x14ac:dyDescent="0.25">
      <c r="A16" s="9">
        <v>43685</v>
      </c>
      <c r="B16" s="2" t="s">
        <v>8</v>
      </c>
      <c r="C16" s="2" t="s">
        <v>29</v>
      </c>
      <c r="D16" s="2" t="s">
        <v>11</v>
      </c>
      <c r="E16" s="13">
        <v>8600</v>
      </c>
      <c r="F16" s="13">
        <v>0</v>
      </c>
      <c r="G16" s="3">
        <f>G15+F16-E16</f>
        <v>100</v>
      </c>
      <c r="H16" s="2" t="str">
        <f t="shared" si="1"/>
        <v>CR</v>
      </c>
    </row>
    <row r="17" spans="1:8" ht="21" customHeight="1" x14ac:dyDescent="0.25">
      <c r="A17" s="9">
        <v>43684</v>
      </c>
      <c r="B17" s="2" t="s">
        <v>10</v>
      </c>
      <c r="C17" s="12" t="s">
        <v>32</v>
      </c>
      <c r="D17" s="2" t="s">
        <v>31</v>
      </c>
      <c r="E17" s="13">
        <v>0</v>
      </c>
      <c r="F17" s="13">
        <v>2600</v>
      </c>
      <c r="G17" s="3">
        <f t="shared" si="0"/>
        <v>2700</v>
      </c>
      <c r="H17" s="2" t="str">
        <f t="shared" si="1"/>
        <v>CR</v>
      </c>
    </row>
    <row r="18" spans="1:8" ht="21" customHeight="1" x14ac:dyDescent="0.25">
      <c r="A18" s="9">
        <v>43696</v>
      </c>
      <c r="B18" s="2" t="s">
        <v>33</v>
      </c>
      <c r="C18" s="12" t="s">
        <v>32</v>
      </c>
      <c r="D18" s="2" t="s">
        <v>34</v>
      </c>
      <c r="E18" s="13">
        <v>2400</v>
      </c>
      <c r="F18" s="13">
        <v>0</v>
      </c>
      <c r="G18" s="3">
        <f t="shared" si="0"/>
        <v>300</v>
      </c>
      <c r="H18" s="2" t="str">
        <f t="shared" si="1"/>
        <v>CR</v>
      </c>
    </row>
    <row r="19" spans="1:8" ht="21" customHeight="1" x14ac:dyDescent="0.25">
      <c r="A19" s="9">
        <v>43693</v>
      </c>
      <c r="B19" s="2" t="s">
        <v>10</v>
      </c>
      <c r="C19" s="2" t="s">
        <v>35</v>
      </c>
      <c r="D19" s="2" t="s">
        <v>36</v>
      </c>
      <c r="E19" s="3">
        <v>0</v>
      </c>
      <c r="F19" s="3">
        <v>2200</v>
      </c>
      <c r="G19" s="3">
        <f t="shared" si="0"/>
        <v>2500</v>
      </c>
      <c r="H19" s="2" t="str">
        <f t="shared" si="1"/>
        <v>CR</v>
      </c>
    </row>
    <row r="20" spans="1:8" ht="21" customHeight="1" x14ac:dyDescent="0.25">
      <c r="A20" s="9">
        <v>43697</v>
      </c>
      <c r="B20" s="2" t="s">
        <v>10</v>
      </c>
      <c r="C20" s="2" t="s">
        <v>37</v>
      </c>
      <c r="D20" s="2" t="s">
        <v>38</v>
      </c>
      <c r="E20" s="3">
        <v>0</v>
      </c>
      <c r="F20" s="3">
        <v>1100</v>
      </c>
      <c r="G20" s="3">
        <f t="shared" si="0"/>
        <v>3600</v>
      </c>
      <c r="H20" s="2" t="str">
        <f t="shared" si="1"/>
        <v>CR</v>
      </c>
    </row>
    <row r="21" spans="1:8" ht="21" customHeight="1" x14ac:dyDescent="0.25">
      <c r="A21" s="9">
        <v>43711</v>
      </c>
      <c r="B21" s="2" t="s">
        <v>8</v>
      </c>
      <c r="C21" s="2" t="s">
        <v>39</v>
      </c>
      <c r="D21" s="2" t="s">
        <v>11</v>
      </c>
      <c r="E21" s="3">
        <v>3400</v>
      </c>
      <c r="F21" s="3">
        <v>0</v>
      </c>
      <c r="G21" s="3">
        <f t="shared" si="0"/>
        <v>200</v>
      </c>
      <c r="H21" s="2" t="str">
        <f t="shared" si="1"/>
        <v>CR</v>
      </c>
    </row>
    <row r="22" spans="1:8" ht="21" customHeight="1" x14ac:dyDescent="0.25">
      <c r="A22" s="9">
        <v>43720</v>
      </c>
      <c r="B22" s="2" t="s">
        <v>10</v>
      </c>
      <c r="C22" s="2" t="s">
        <v>40</v>
      </c>
      <c r="D22" s="2" t="s">
        <v>41</v>
      </c>
      <c r="E22" s="3">
        <v>0</v>
      </c>
      <c r="F22" s="3">
        <v>5200</v>
      </c>
      <c r="G22" s="3">
        <f t="shared" si="0"/>
        <v>5400</v>
      </c>
      <c r="H22" s="2" t="str">
        <f t="shared" si="1"/>
        <v>CR</v>
      </c>
    </row>
    <row r="23" spans="1:8" ht="21" customHeight="1" x14ac:dyDescent="0.25">
      <c r="A23" s="9">
        <v>43725</v>
      </c>
      <c r="B23" s="2" t="s">
        <v>8</v>
      </c>
      <c r="C23" s="12" t="s">
        <v>42</v>
      </c>
      <c r="D23" s="2" t="s">
        <v>11</v>
      </c>
      <c r="E23" s="3">
        <v>5300</v>
      </c>
      <c r="F23" s="3"/>
      <c r="G23" s="3">
        <f t="shared" si="0"/>
        <v>100</v>
      </c>
      <c r="H23" s="2" t="str">
        <f t="shared" si="1"/>
        <v>CR</v>
      </c>
    </row>
    <row r="24" spans="1:8" ht="21" customHeight="1" x14ac:dyDescent="0.25">
      <c r="A24" s="9">
        <v>43724</v>
      </c>
      <c r="B24" s="2" t="s">
        <v>10</v>
      </c>
      <c r="C24" s="12" t="s">
        <v>43</v>
      </c>
      <c r="D24" s="2" t="s">
        <v>44</v>
      </c>
      <c r="E24" s="3">
        <v>0</v>
      </c>
      <c r="F24" s="3">
        <v>5400</v>
      </c>
      <c r="G24" s="3">
        <f t="shared" si="0"/>
        <v>5500</v>
      </c>
      <c r="H24" s="2" t="str">
        <f t="shared" si="1"/>
        <v>CR</v>
      </c>
    </row>
    <row r="25" spans="1:8" ht="21" customHeight="1" x14ac:dyDescent="0.25">
      <c r="A25" s="9">
        <v>43725</v>
      </c>
      <c r="B25" s="2" t="s">
        <v>10</v>
      </c>
      <c r="C25" s="12" t="s">
        <v>45</v>
      </c>
      <c r="D25" s="2" t="s">
        <v>46</v>
      </c>
      <c r="E25" s="3">
        <v>0</v>
      </c>
      <c r="F25" s="3">
        <v>1900</v>
      </c>
      <c r="G25" s="3">
        <f t="shared" si="0"/>
        <v>7400</v>
      </c>
      <c r="H25" s="2" t="str">
        <f t="shared" si="1"/>
        <v>CR</v>
      </c>
    </row>
    <row r="26" spans="1:8" ht="21" customHeight="1" x14ac:dyDescent="0.25">
      <c r="A26" s="9">
        <v>43729</v>
      </c>
      <c r="B26" s="2" t="s">
        <v>33</v>
      </c>
      <c r="C26" s="2" t="s">
        <v>45</v>
      </c>
      <c r="D26" s="2" t="s">
        <v>47</v>
      </c>
      <c r="E26" s="3">
        <v>1900</v>
      </c>
      <c r="F26" s="3">
        <v>0</v>
      </c>
      <c r="G26" s="3">
        <f t="shared" si="0"/>
        <v>5500</v>
      </c>
      <c r="H26" s="2" t="str">
        <f t="shared" si="1"/>
        <v>CR</v>
      </c>
    </row>
    <row r="27" spans="1:8" ht="21" customHeight="1" x14ac:dyDescent="0.25">
      <c r="A27" s="9">
        <v>43727</v>
      </c>
      <c r="B27" s="2" t="s">
        <v>10</v>
      </c>
      <c r="C27" s="12" t="s">
        <v>48</v>
      </c>
      <c r="D27" s="2" t="s">
        <v>49</v>
      </c>
      <c r="E27" s="3">
        <v>0</v>
      </c>
      <c r="F27" s="3">
        <v>1900</v>
      </c>
      <c r="G27" s="3">
        <f t="shared" si="0"/>
        <v>7400</v>
      </c>
      <c r="H27" s="2" t="str">
        <f t="shared" si="1"/>
        <v>CR</v>
      </c>
    </row>
    <row r="28" spans="1:8" ht="21" customHeight="1" x14ac:dyDescent="0.25">
      <c r="A28" s="9">
        <v>43729</v>
      </c>
      <c r="B28" s="2" t="s">
        <v>10</v>
      </c>
      <c r="C28" s="12" t="s">
        <v>50</v>
      </c>
      <c r="D28" s="2" t="s">
        <v>51</v>
      </c>
      <c r="E28" s="3">
        <v>0</v>
      </c>
      <c r="F28" s="3">
        <v>5350</v>
      </c>
      <c r="G28" s="3">
        <f t="shared" si="0"/>
        <v>12750</v>
      </c>
      <c r="H28" s="2" t="str">
        <f t="shared" si="1"/>
        <v>CR</v>
      </c>
    </row>
    <row r="29" spans="1:8" ht="21" customHeight="1" x14ac:dyDescent="0.25">
      <c r="A29" s="9">
        <v>43731</v>
      </c>
      <c r="B29" s="2" t="s">
        <v>8</v>
      </c>
      <c r="C29" s="12" t="s">
        <v>52</v>
      </c>
      <c r="D29" s="2" t="s">
        <v>11</v>
      </c>
      <c r="E29" s="3">
        <v>7300</v>
      </c>
      <c r="F29" s="3">
        <v>0</v>
      </c>
      <c r="G29" s="3">
        <f t="shared" si="0"/>
        <v>5450</v>
      </c>
      <c r="H29" s="2" t="str">
        <f t="shared" si="1"/>
        <v>CR</v>
      </c>
    </row>
    <row r="30" spans="1:8" ht="21" customHeight="1" x14ac:dyDescent="0.25">
      <c r="A30" s="9">
        <v>43729</v>
      </c>
      <c r="B30" s="2" t="s">
        <v>10</v>
      </c>
      <c r="C30" s="2" t="s">
        <v>53</v>
      </c>
      <c r="D30" s="2" t="s">
        <v>54</v>
      </c>
      <c r="E30" s="3">
        <v>0</v>
      </c>
      <c r="F30" s="3">
        <v>1900</v>
      </c>
      <c r="G30" s="3">
        <f t="shared" si="0"/>
        <v>7350</v>
      </c>
      <c r="H30" s="2" t="str">
        <f t="shared" si="1"/>
        <v>CR</v>
      </c>
    </row>
    <row r="31" spans="1:8" ht="21" customHeight="1" x14ac:dyDescent="0.25">
      <c r="A31" s="9">
        <v>43731</v>
      </c>
      <c r="B31" s="2" t="s">
        <v>10</v>
      </c>
      <c r="C31" s="2" t="s">
        <v>55</v>
      </c>
      <c r="D31" s="2" t="s">
        <v>56</v>
      </c>
      <c r="E31" s="3">
        <v>0</v>
      </c>
      <c r="F31" s="3">
        <v>5400</v>
      </c>
      <c r="G31" s="3">
        <f t="shared" si="0"/>
        <v>12750</v>
      </c>
      <c r="H31" s="2" t="str">
        <f t="shared" si="1"/>
        <v>CR</v>
      </c>
    </row>
    <row r="32" spans="1:8" ht="21" customHeight="1" x14ac:dyDescent="0.25">
      <c r="A32" s="9">
        <v>43738</v>
      </c>
      <c r="B32" s="2" t="s">
        <v>8</v>
      </c>
      <c r="C32" s="2" t="s">
        <v>57</v>
      </c>
      <c r="D32" s="2" t="s">
        <v>11</v>
      </c>
      <c r="E32" s="3">
        <v>12650</v>
      </c>
      <c r="F32" s="3">
        <v>0</v>
      </c>
      <c r="G32" s="3">
        <f t="shared" si="0"/>
        <v>100</v>
      </c>
      <c r="H32" s="2" t="str">
        <f t="shared" si="1"/>
        <v>CR</v>
      </c>
    </row>
    <row r="33" spans="1:8" ht="21" customHeight="1" x14ac:dyDescent="0.25">
      <c r="A33" s="9">
        <v>43746</v>
      </c>
      <c r="B33" s="2" t="s">
        <v>10</v>
      </c>
      <c r="C33" s="2" t="s">
        <v>58</v>
      </c>
      <c r="D33" s="2" t="s">
        <v>59</v>
      </c>
      <c r="E33" s="3">
        <v>0</v>
      </c>
      <c r="F33" s="3">
        <v>1900</v>
      </c>
      <c r="G33" s="3">
        <f t="shared" si="0"/>
        <v>2000</v>
      </c>
      <c r="H33" s="2" t="str">
        <f t="shared" si="1"/>
        <v>CR</v>
      </c>
    </row>
    <row r="34" spans="1:8" ht="21" customHeight="1" x14ac:dyDescent="0.25">
      <c r="A34" s="9">
        <v>43750</v>
      </c>
      <c r="B34" s="2" t="s">
        <v>10</v>
      </c>
      <c r="C34" s="2" t="s">
        <v>60</v>
      </c>
      <c r="D34" s="2" t="s">
        <v>61</v>
      </c>
      <c r="E34" s="3">
        <v>0</v>
      </c>
      <c r="F34" s="3">
        <v>1000</v>
      </c>
      <c r="G34" s="3">
        <f t="shared" si="0"/>
        <v>3000</v>
      </c>
      <c r="H34" s="2" t="str">
        <f t="shared" si="1"/>
        <v>CR</v>
      </c>
    </row>
    <row r="35" spans="1:8" ht="21" customHeight="1" x14ac:dyDescent="0.25">
      <c r="A35" s="9">
        <v>43752</v>
      </c>
      <c r="B35" s="2" t="s">
        <v>8</v>
      </c>
      <c r="C35" s="2" t="s">
        <v>62</v>
      </c>
      <c r="D35" s="2" t="s">
        <v>11</v>
      </c>
      <c r="E35" s="3">
        <v>2900</v>
      </c>
      <c r="F35" s="3">
        <v>0</v>
      </c>
      <c r="G35" s="3">
        <f t="shared" si="0"/>
        <v>100</v>
      </c>
      <c r="H35" s="2" t="str">
        <f t="shared" si="1"/>
        <v>CR</v>
      </c>
    </row>
    <row r="36" spans="1:8" ht="21" customHeight="1" x14ac:dyDescent="0.25">
      <c r="A36" s="10"/>
      <c r="B36" s="4"/>
      <c r="C36" s="4"/>
      <c r="D36" s="4" t="s">
        <v>9</v>
      </c>
      <c r="E36" s="5">
        <f>SUM(E6:E35)</f>
        <v>59950</v>
      </c>
      <c r="F36" s="5">
        <f>SUM(F6:F35)</f>
        <v>60050</v>
      </c>
      <c r="G36" s="5">
        <f>G5+F36-E36</f>
        <v>100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printOptions horizontalCentered="1" verticalCentered="1"/>
  <pageMargins left="0.7" right="0.7" top="0.75" bottom="0.75" header="0.3" footer="0.3"/>
  <pageSetup paperSize="9" scale="8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6"/>
  <sheetViews>
    <sheetView zoomScaleNormal="100" workbookViewId="0">
      <pane ySplit="4" topLeftCell="A5" activePane="bottomLeft" state="frozen"/>
      <selection pane="bottomLeft" activeCell="N10" sqref="N10"/>
    </sheetView>
  </sheetViews>
  <sheetFormatPr defaultRowHeight="15" x14ac:dyDescent="0.25"/>
  <cols>
    <col min="1" max="1" width="12.140625" style="11" bestFit="1" customWidth="1"/>
    <col min="2" max="2" width="12" bestFit="1" customWidth="1"/>
    <col min="3" max="3" width="16.5703125" bestFit="1" customWidth="1"/>
    <col min="4" max="4" width="32.42578125" bestFit="1" customWidth="1"/>
    <col min="5" max="7" width="9" style="1" bestFit="1" customWidth="1"/>
    <col min="8" max="8" width="3.28515625" bestFit="1" customWidth="1"/>
  </cols>
  <sheetData>
    <row r="1" spans="1:8" ht="18.75" x14ac:dyDescent="0.3">
      <c r="A1" s="95" t="s">
        <v>0</v>
      </c>
      <c r="B1" s="95"/>
      <c r="C1" s="95"/>
      <c r="D1" s="95"/>
      <c r="E1" s="95"/>
      <c r="F1" s="95"/>
      <c r="G1" s="95"/>
      <c r="H1" s="95"/>
    </row>
    <row r="2" spans="1:8" ht="15.75" x14ac:dyDescent="0.25">
      <c r="A2" s="96" t="s">
        <v>12</v>
      </c>
      <c r="B2" s="96"/>
      <c r="C2" s="96"/>
      <c r="D2" s="96"/>
      <c r="E2" s="96"/>
      <c r="F2" s="96"/>
      <c r="G2" s="96"/>
      <c r="H2" s="96"/>
    </row>
    <row r="3" spans="1:8" x14ac:dyDescent="0.25">
      <c r="A3" s="97" t="s">
        <v>13</v>
      </c>
      <c r="B3" s="97"/>
      <c r="C3" s="97"/>
      <c r="D3" s="97"/>
      <c r="E3" s="97"/>
      <c r="F3" s="97"/>
      <c r="G3" s="97"/>
      <c r="H3" s="97"/>
    </row>
    <row r="4" spans="1:8" ht="21" customHeight="1" x14ac:dyDescent="0.25">
      <c r="A4" s="8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7" t="s">
        <v>6</v>
      </c>
      <c r="G4" s="98" t="s">
        <v>7</v>
      </c>
      <c r="H4" s="98"/>
    </row>
    <row r="5" spans="1:8" ht="21" customHeight="1" x14ac:dyDescent="0.25">
      <c r="A5" s="9"/>
      <c r="B5" s="2"/>
      <c r="C5" s="2"/>
      <c r="D5" s="2" t="s">
        <v>79</v>
      </c>
      <c r="E5" s="3"/>
      <c r="F5" s="3"/>
      <c r="G5" s="3">
        <f>'AL AZIZ-LHR-1'!G36</f>
        <v>100</v>
      </c>
      <c r="H5" s="2"/>
    </row>
    <row r="6" spans="1:8" ht="21" customHeight="1" x14ac:dyDescent="0.25">
      <c r="A6" s="9">
        <v>43752</v>
      </c>
      <c r="B6" s="2" t="s">
        <v>10</v>
      </c>
      <c r="C6" s="2" t="s">
        <v>63</v>
      </c>
      <c r="D6" s="2" t="s">
        <v>64</v>
      </c>
      <c r="E6" s="13">
        <v>0</v>
      </c>
      <c r="F6" s="13">
        <v>1900</v>
      </c>
      <c r="G6" s="3">
        <f>G5+F6-E6</f>
        <v>2000</v>
      </c>
      <c r="H6" s="2" t="str">
        <f>IF(G6=0,"NIL",IF(G6&gt;0,"CR","DR"))</f>
        <v>CR</v>
      </c>
    </row>
    <row r="7" spans="1:8" ht="21" customHeight="1" x14ac:dyDescent="0.25">
      <c r="A7" s="9">
        <v>43752</v>
      </c>
      <c r="B7" s="2" t="s">
        <v>10</v>
      </c>
      <c r="C7" s="2" t="s">
        <v>65</v>
      </c>
      <c r="D7" s="2" t="s">
        <v>66</v>
      </c>
      <c r="E7" s="13">
        <v>0</v>
      </c>
      <c r="F7" s="13">
        <v>5400</v>
      </c>
      <c r="G7" s="3">
        <f t="shared" ref="G7:G35" si="0">G6+F7-E7</f>
        <v>7400</v>
      </c>
      <c r="H7" s="2" t="str">
        <f t="shared" ref="H7:H36" si="1">IF(G7=0,"NIL",IF(G7&gt;0,"CR","DR"))</f>
        <v>CR</v>
      </c>
    </row>
    <row r="8" spans="1:8" ht="21" customHeight="1" x14ac:dyDescent="0.25">
      <c r="A8" s="9">
        <v>43753</v>
      </c>
      <c r="B8" s="2" t="s">
        <v>10</v>
      </c>
      <c r="C8" s="2" t="s">
        <v>67</v>
      </c>
      <c r="D8" s="2" t="s">
        <v>64</v>
      </c>
      <c r="E8" s="13">
        <v>0</v>
      </c>
      <c r="F8" s="13">
        <v>1900</v>
      </c>
      <c r="G8" s="3">
        <f t="shared" si="0"/>
        <v>9300</v>
      </c>
      <c r="H8" s="2" t="str">
        <f t="shared" si="1"/>
        <v>CR</v>
      </c>
    </row>
    <row r="9" spans="1:8" ht="21" customHeight="1" x14ac:dyDescent="0.25">
      <c r="A9" s="9">
        <v>43759</v>
      </c>
      <c r="B9" s="2" t="s">
        <v>8</v>
      </c>
      <c r="C9" s="12" t="s">
        <v>68</v>
      </c>
      <c r="D9" s="2" t="s">
        <v>11</v>
      </c>
      <c r="E9" s="13">
        <v>9200</v>
      </c>
      <c r="F9" s="13">
        <v>0</v>
      </c>
      <c r="G9" s="3">
        <f t="shared" si="0"/>
        <v>100</v>
      </c>
      <c r="H9" s="2" t="str">
        <f t="shared" si="1"/>
        <v>CR</v>
      </c>
    </row>
    <row r="10" spans="1:8" ht="21" customHeight="1" x14ac:dyDescent="0.25">
      <c r="A10" s="9">
        <v>43759</v>
      </c>
      <c r="B10" s="2" t="s">
        <v>10</v>
      </c>
      <c r="C10" s="12" t="s">
        <v>69</v>
      </c>
      <c r="D10" s="2" t="s">
        <v>70</v>
      </c>
      <c r="E10" s="13">
        <v>0</v>
      </c>
      <c r="F10" s="13">
        <v>5400</v>
      </c>
      <c r="G10" s="3">
        <f t="shared" si="0"/>
        <v>5500</v>
      </c>
      <c r="H10" s="2" t="str">
        <f t="shared" si="1"/>
        <v>CR</v>
      </c>
    </row>
    <row r="11" spans="1:8" ht="21" customHeight="1" x14ac:dyDescent="0.25">
      <c r="A11" s="9">
        <v>43760</v>
      </c>
      <c r="B11" s="2" t="s">
        <v>10</v>
      </c>
      <c r="C11" s="12" t="s">
        <v>71</v>
      </c>
      <c r="D11" s="2" t="s">
        <v>64</v>
      </c>
      <c r="E11" s="13">
        <v>0</v>
      </c>
      <c r="F11" s="13">
        <v>2200</v>
      </c>
      <c r="G11" s="3">
        <f t="shared" si="0"/>
        <v>7700</v>
      </c>
      <c r="H11" s="2" t="str">
        <f t="shared" si="1"/>
        <v>CR</v>
      </c>
    </row>
    <row r="12" spans="1:8" ht="21" customHeight="1" x14ac:dyDescent="0.25">
      <c r="A12" s="9">
        <v>43765</v>
      </c>
      <c r="B12" s="2" t="s">
        <v>33</v>
      </c>
      <c r="C12" s="12" t="s">
        <v>72</v>
      </c>
      <c r="D12" s="2" t="s">
        <v>73</v>
      </c>
      <c r="E12" s="13">
        <v>2100</v>
      </c>
      <c r="F12" s="13">
        <v>0</v>
      </c>
      <c r="G12" s="3">
        <f t="shared" si="0"/>
        <v>5600</v>
      </c>
      <c r="H12" s="2" t="str">
        <f t="shared" si="1"/>
        <v>CR</v>
      </c>
    </row>
    <row r="13" spans="1:8" ht="21" customHeight="1" x14ac:dyDescent="0.25">
      <c r="A13" s="9">
        <v>43766</v>
      </c>
      <c r="B13" s="2" t="s">
        <v>8</v>
      </c>
      <c r="C13" s="12" t="s">
        <v>74</v>
      </c>
      <c r="D13" s="2" t="s">
        <v>11</v>
      </c>
      <c r="E13" s="13">
        <v>5400</v>
      </c>
      <c r="F13" s="13">
        <v>0</v>
      </c>
      <c r="G13" s="3">
        <f t="shared" si="0"/>
        <v>200</v>
      </c>
      <c r="H13" s="2" t="str">
        <f t="shared" si="1"/>
        <v>CR</v>
      </c>
    </row>
    <row r="14" spans="1:8" ht="21" customHeight="1" x14ac:dyDescent="0.25">
      <c r="A14" s="9">
        <v>43771</v>
      </c>
      <c r="B14" s="2" t="s">
        <v>10</v>
      </c>
      <c r="C14" s="12" t="s">
        <v>75</v>
      </c>
      <c r="D14" s="2" t="s">
        <v>76</v>
      </c>
      <c r="E14" s="13">
        <v>0</v>
      </c>
      <c r="F14" s="13">
        <v>4400</v>
      </c>
      <c r="G14" s="3">
        <f t="shared" si="0"/>
        <v>4600</v>
      </c>
      <c r="H14" s="2" t="str">
        <f t="shared" si="1"/>
        <v>CR</v>
      </c>
    </row>
    <row r="15" spans="1:8" ht="21" customHeight="1" x14ac:dyDescent="0.25">
      <c r="A15" s="9">
        <v>43774</v>
      </c>
      <c r="B15" s="2" t="s">
        <v>10</v>
      </c>
      <c r="C15" s="12" t="s">
        <v>77</v>
      </c>
      <c r="D15" s="2" t="s">
        <v>78</v>
      </c>
      <c r="E15" s="13">
        <v>0</v>
      </c>
      <c r="F15" s="13">
        <v>2250</v>
      </c>
      <c r="G15" s="3">
        <f t="shared" si="0"/>
        <v>6850</v>
      </c>
      <c r="H15" s="2" t="str">
        <f t="shared" si="1"/>
        <v>CR</v>
      </c>
    </row>
    <row r="16" spans="1:8" ht="21" customHeight="1" x14ac:dyDescent="0.25">
      <c r="A16" s="9">
        <v>43787</v>
      </c>
      <c r="B16" s="2" t="s">
        <v>8</v>
      </c>
      <c r="C16" s="2" t="s">
        <v>80</v>
      </c>
      <c r="D16" s="2" t="s">
        <v>11</v>
      </c>
      <c r="E16" s="13">
        <v>6650</v>
      </c>
      <c r="F16" s="13">
        <v>0</v>
      </c>
      <c r="G16" s="3">
        <f>G15+F16-E16</f>
        <v>200</v>
      </c>
      <c r="H16" s="2" t="str">
        <f t="shared" si="1"/>
        <v>CR</v>
      </c>
    </row>
    <row r="17" spans="1:8" ht="21" customHeight="1" x14ac:dyDescent="0.25">
      <c r="A17" s="9">
        <v>43794</v>
      </c>
      <c r="B17" s="2" t="s">
        <v>10</v>
      </c>
      <c r="C17" s="12" t="s">
        <v>81</v>
      </c>
      <c r="D17" s="2" t="s">
        <v>82</v>
      </c>
      <c r="E17" s="13">
        <v>0</v>
      </c>
      <c r="F17" s="13">
        <v>6000</v>
      </c>
      <c r="G17" s="3">
        <f t="shared" si="0"/>
        <v>6200</v>
      </c>
      <c r="H17" s="2" t="str">
        <f t="shared" si="1"/>
        <v>CR</v>
      </c>
    </row>
    <row r="18" spans="1:8" ht="21" customHeight="1" x14ac:dyDescent="0.25">
      <c r="A18" s="9">
        <v>43801</v>
      </c>
      <c r="B18" s="2" t="s">
        <v>8</v>
      </c>
      <c r="C18" s="12" t="s">
        <v>83</v>
      </c>
      <c r="D18" s="2" t="s">
        <v>11</v>
      </c>
      <c r="E18" s="13">
        <v>6200</v>
      </c>
      <c r="F18" s="13">
        <v>0</v>
      </c>
      <c r="G18" s="3">
        <f t="shared" si="0"/>
        <v>0</v>
      </c>
      <c r="H18" s="2" t="str">
        <f t="shared" si="1"/>
        <v>NIL</v>
      </c>
    </row>
    <row r="19" spans="1:8" ht="21" customHeight="1" x14ac:dyDescent="0.25">
      <c r="A19" s="9">
        <v>43812</v>
      </c>
      <c r="B19" s="2" t="s">
        <v>10</v>
      </c>
      <c r="C19" s="2" t="s">
        <v>84</v>
      </c>
      <c r="D19" s="2" t="s">
        <v>85</v>
      </c>
      <c r="E19" s="3">
        <v>0</v>
      </c>
      <c r="F19" s="3">
        <v>1900</v>
      </c>
      <c r="G19" s="3">
        <f t="shared" si="0"/>
        <v>1900</v>
      </c>
      <c r="H19" s="2" t="str">
        <f t="shared" si="1"/>
        <v>CR</v>
      </c>
    </row>
    <row r="20" spans="1:8" ht="21" customHeight="1" x14ac:dyDescent="0.25">
      <c r="A20" s="9">
        <v>43820</v>
      </c>
      <c r="B20" s="2" t="s">
        <v>10</v>
      </c>
      <c r="C20" s="2" t="s">
        <v>86</v>
      </c>
      <c r="D20" s="2" t="s">
        <v>28</v>
      </c>
      <c r="E20" s="3">
        <v>0</v>
      </c>
      <c r="F20" s="3">
        <v>1900</v>
      </c>
      <c r="G20" s="3">
        <f t="shared" si="0"/>
        <v>3800</v>
      </c>
      <c r="H20" s="2" t="str">
        <f t="shared" si="1"/>
        <v>CR</v>
      </c>
    </row>
    <row r="21" spans="1:8" ht="21" customHeight="1" x14ac:dyDescent="0.25">
      <c r="A21" s="9">
        <v>43829</v>
      </c>
      <c r="B21" s="2" t="s">
        <v>8</v>
      </c>
      <c r="C21" s="2" t="s">
        <v>87</v>
      </c>
      <c r="D21" s="2" t="s">
        <v>11</v>
      </c>
      <c r="E21" s="3">
        <v>3800</v>
      </c>
      <c r="F21" s="3">
        <v>0</v>
      </c>
      <c r="G21" s="3">
        <f t="shared" si="0"/>
        <v>0</v>
      </c>
      <c r="H21" s="2" t="str">
        <f t="shared" si="1"/>
        <v>NIL</v>
      </c>
    </row>
    <row r="22" spans="1:8" ht="21" customHeight="1" x14ac:dyDescent="0.25">
      <c r="A22" s="9">
        <v>43834</v>
      </c>
      <c r="B22" s="2" t="s">
        <v>10</v>
      </c>
      <c r="C22" s="2" t="s">
        <v>88</v>
      </c>
      <c r="D22" s="2" t="s">
        <v>82</v>
      </c>
      <c r="E22" s="3">
        <v>0</v>
      </c>
      <c r="F22" s="3">
        <v>5450</v>
      </c>
      <c r="G22" s="3">
        <f t="shared" si="0"/>
        <v>5450</v>
      </c>
      <c r="H22" s="2" t="str">
        <f t="shared" si="1"/>
        <v>CR</v>
      </c>
    </row>
    <row r="23" spans="1:8" ht="21" customHeight="1" x14ac:dyDescent="0.25">
      <c r="A23" s="9">
        <v>43843</v>
      </c>
      <c r="B23" s="2" t="s">
        <v>8</v>
      </c>
      <c r="C23" s="12" t="s">
        <v>89</v>
      </c>
      <c r="D23" s="2" t="s">
        <v>11</v>
      </c>
      <c r="E23" s="3">
        <v>5450</v>
      </c>
      <c r="F23" s="3">
        <v>0</v>
      </c>
      <c r="G23" s="3">
        <f t="shared" si="0"/>
        <v>0</v>
      </c>
      <c r="H23" s="2" t="str">
        <f t="shared" si="1"/>
        <v>NIL</v>
      </c>
    </row>
    <row r="24" spans="1:8" ht="21" customHeight="1" x14ac:dyDescent="0.25">
      <c r="A24" s="9">
        <v>43845</v>
      </c>
      <c r="B24" s="2" t="s">
        <v>10</v>
      </c>
      <c r="C24" s="12" t="s">
        <v>90</v>
      </c>
      <c r="D24" s="2" t="s">
        <v>91</v>
      </c>
      <c r="E24" s="3">
        <v>0</v>
      </c>
      <c r="F24" s="3">
        <v>1900</v>
      </c>
      <c r="G24" s="3">
        <f t="shared" si="0"/>
        <v>1900</v>
      </c>
      <c r="H24" s="2" t="str">
        <f t="shared" si="1"/>
        <v>CR</v>
      </c>
    </row>
    <row r="25" spans="1:8" ht="21" customHeight="1" x14ac:dyDescent="0.25">
      <c r="A25" s="9">
        <v>43850</v>
      </c>
      <c r="B25" s="2" t="s">
        <v>8</v>
      </c>
      <c r="C25" s="12" t="s">
        <v>92</v>
      </c>
      <c r="D25" s="2" t="s">
        <v>11</v>
      </c>
      <c r="E25" s="3">
        <v>1900</v>
      </c>
      <c r="F25" s="3">
        <v>0</v>
      </c>
      <c r="G25" s="3">
        <f t="shared" si="0"/>
        <v>0</v>
      </c>
      <c r="H25" s="2" t="str">
        <f t="shared" si="1"/>
        <v>NIL</v>
      </c>
    </row>
    <row r="26" spans="1:8" ht="21" customHeight="1" x14ac:dyDescent="0.25">
      <c r="A26" s="9">
        <v>43858</v>
      </c>
      <c r="B26" s="2" t="s">
        <v>10</v>
      </c>
      <c r="C26" s="2" t="s">
        <v>93</v>
      </c>
      <c r="D26" s="2" t="s">
        <v>94</v>
      </c>
      <c r="E26" s="3">
        <v>0</v>
      </c>
      <c r="F26" s="3">
        <v>2600</v>
      </c>
      <c r="G26" s="3">
        <f t="shared" si="0"/>
        <v>2600</v>
      </c>
      <c r="H26" s="2" t="str">
        <f t="shared" si="1"/>
        <v>CR</v>
      </c>
    </row>
    <row r="27" spans="1:8" ht="21" customHeight="1" x14ac:dyDescent="0.25">
      <c r="A27" s="9">
        <v>43865</v>
      </c>
      <c r="B27" s="2" t="s">
        <v>10</v>
      </c>
      <c r="C27" s="12" t="s">
        <v>95</v>
      </c>
      <c r="D27" s="2" t="s">
        <v>96</v>
      </c>
      <c r="E27" s="3">
        <v>0</v>
      </c>
      <c r="F27" s="3">
        <v>6050</v>
      </c>
      <c r="G27" s="3">
        <f t="shared" si="0"/>
        <v>8650</v>
      </c>
      <c r="H27" s="2" t="str">
        <f t="shared" si="1"/>
        <v>CR</v>
      </c>
    </row>
    <row r="28" spans="1:8" ht="21" customHeight="1" x14ac:dyDescent="0.25">
      <c r="A28" s="9">
        <v>43923</v>
      </c>
      <c r="B28" s="2" t="s">
        <v>8</v>
      </c>
      <c r="C28" s="12" t="s">
        <v>97</v>
      </c>
      <c r="D28" s="2" t="s">
        <v>11</v>
      </c>
      <c r="E28" s="3">
        <v>8650</v>
      </c>
      <c r="F28" s="3">
        <v>0</v>
      </c>
      <c r="G28" s="3">
        <f t="shared" si="0"/>
        <v>0</v>
      </c>
      <c r="H28" s="2" t="str">
        <f t="shared" si="1"/>
        <v>NIL</v>
      </c>
    </row>
    <row r="29" spans="1:8" ht="21" customHeight="1" x14ac:dyDescent="0.25">
      <c r="A29" s="9">
        <v>43869</v>
      </c>
      <c r="B29" s="2" t="s">
        <v>10</v>
      </c>
      <c r="C29" s="12" t="s">
        <v>98</v>
      </c>
      <c r="D29" s="2" t="s">
        <v>99</v>
      </c>
      <c r="E29" s="3">
        <v>0</v>
      </c>
      <c r="F29" s="3">
        <v>2900</v>
      </c>
      <c r="G29" s="3">
        <f t="shared" si="0"/>
        <v>2900</v>
      </c>
      <c r="H29" s="2" t="str">
        <f t="shared" si="1"/>
        <v>CR</v>
      </c>
    </row>
    <row r="30" spans="1:8" ht="21" customHeight="1" x14ac:dyDescent="0.25">
      <c r="A30" s="9">
        <v>43871</v>
      </c>
      <c r="B30" s="2" t="s">
        <v>8</v>
      </c>
      <c r="C30" s="2" t="s">
        <v>100</v>
      </c>
      <c r="D30" s="2" t="s">
        <v>11</v>
      </c>
      <c r="E30" s="3">
        <v>2900</v>
      </c>
      <c r="F30" s="3">
        <v>0</v>
      </c>
      <c r="G30" s="3">
        <f t="shared" si="0"/>
        <v>0</v>
      </c>
      <c r="H30" s="2" t="str">
        <f t="shared" si="1"/>
        <v>NIL</v>
      </c>
    </row>
    <row r="31" spans="1:8" ht="21" customHeight="1" x14ac:dyDescent="0.25">
      <c r="A31" s="9">
        <v>43876</v>
      </c>
      <c r="B31" s="2" t="s">
        <v>10</v>
      </c>
      <c r="C31" s="2" t="s">
        <v>101</v>
      </c>
      <c r="D31" s="2" t="s">
        <v>102</v>
      </c>
      <c r="E31" s="3">
        <v>0</v>
      </c>
      <c r="F31" s="3">
        <v>2500</v>
      </c>
      <c r="G31" s="3">
        <f t="shared" si="0"/>
        <v>2500</v>
      </c>
      <c r="H31" s="2" t="str">
        <f t="shared" si="1"/>
        <v>CR</v>
      </c>
    </row>
    <row r="32" spans="1:8" ht="21" customHeight="1" x14ac:dyDescent="0.25">
      <c r="A32" s="9">
        <v>43887</v>
      </c>
      <c r="B32" s="2" t="s">
        <v>8</v>
      </c>
      <c r="C32" s="2" t="s">
        <v>103</v>
      </c>
      <c r="D32" s="2" t="s">
        <v>11</v>
      </c>
      <c r="E32" s="3">
        <v>2500</v>
      </c>
      <c r="F32" s="3">
        <v>0</v>
      </c>
      <c r="G32" s="3">
        <f t="shared" si="0"/>
        <v>0</v>
      </c>
      <c r="H32" s="2" t="str">
        <f t="shared" si="1"/>
        <v>NIL</v>
      </c>
    </row>
    <row r="33" spans="1:8" ht="21" customHeight="1" x14ac:dyDescent="0.25">
      <c r="A33" s="9">
        <v>43887</v>
      </c>
      <c r="B33" s="2" t="s">
        <v>10</v>
      </c>
      <c r="C33" s="2" t="s">
        <v>104</v>
      </c>
      <c r="D33" s="2" t="s">
        <v>105</v>
      </c>
      <c r="E33" s="3">
        <v>0</v>
      </c>
      <c r="F33" s="3">
        <v>1100</v>
      </c>
      <c r="G33" s="3">
        <f t="shared" si="0"/>
        <v>1100</v>
      </c>
      <c r="H33" s="2" t="str">
        <f t="shared" si="1"/>
        <v>CR</v>
      </c>
    </row>
    <row r="34" spans="1:8" ht="21" customHeight="1" x14ac:dyDescent="0.25">
      <c r="A34" s="9">
        <v>43892</v>
      </c>
      <c r="B34" s="2" t="s">
        <v>8</v>
      </c>
      <c r="C34" s="2" t="s">
        <v>106</v>
      </c>
      <c r="D34" s="2" t="s">
        <v>11</v>
      </c>
      <c r="E34" s="3">
        <v>1100</v>
      </c>
      <c r="F34" s="3">
        <v>0</v>
      </c>
      <c r="G34" s="3">
        <f t="shared" si="0"/>
        <v>0</v>
      </c>
      <c r="H34" s="2" t="str">
        <f t="shared" si="1"/>
        <v>NIL</v>
      </c>
    </row>
    <row r="35" spans="1:8" ht="21" customHeight="1" x14ac:dyDescent="0.25">
      <c r="A35" s="9">
        <v>43939</v>
      </c>
      <c r="B35" s="2" t="s">
        <v>10</v>
      </c>
      <c r="C35" s="2" t="s">
        <v>107</v>
      </c>
      <c r="D35" s="2" t="s">
        <v>70</v>
      </c>
      <c r="E35" s="3">
        <v>0</v>
      </c>
      <c r="F35" s="3">
        <v>5750</v>
      </c>
      <c r="G35" s="3">
        <f t="shared" si="0"/>
        <v>5750</v>
      </c>
      <c r="H35" s="2" t="str">
        <f t="shared" si="1"/>
        <v>CR</v>
      </c>
    </row>
    <row r="36" spans="1:8" ht="21" customHeight="1" x14ac:dyDescent="0.25">
      <c r="A36" s="10"/>
      <c r="B36" s="4"/>
      <c r="C36" s="4"/>
      <c r="D36" s="4" t="s">
        <v>9</v>
      </c>
      <c r="E36" s="5">
        <f>SUM(E6:E35)</f>
        <v>55850</v>
      </c>
      <c r="F36" s="5">
        <f>SUM(F6:F35)</f>
        <v>61500</v>
      </c>
      <c r="G36" s="5">
        <f>G5+F36-E36</f>
        <v>5750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printOptions horizontalCentered="1" verticalCentered="1"/>
  <pageMargins left="0.7" right="0.7" top="0.75" bottom="0.75" header="0.3" footer="0.3"/>
  <pageSetup paperSize="9" scale="8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6"/>
  <sheetViews>
    <sheetView zoomScaleNormal="100" workbookViewId="0">
      <pane ySplit="4" topLeftCell="A20" activePane="bottomLeft" state="frozen"/>
      <selection pane="bottomLeft" activeCell="E34" sqref="E34"/>
    </sheetView>
  </sheetViews>
  <sheetFormatPr defaultRowHeight="15" x14ac:dyDescent="0.25"/>
  <cols>
    <col min="1" max="1" width="12.140625" style="11" bestFit="1" customWidth="1"/>
    <col min="2" max="2" width="12" bestFit="1" customWidth="1"/>
    <col min="3" max="3" width="16.5703125" bestFit="1" customWidth="1"/>
    <col min="4" max="4" width="37.140625" bestFit="1" customWidth="1"/>
    <col min="5" max="7" width="9" style="1" bestFit="1" customWidth="1"/>
    <col min="8" max="8" width="3.28515625" bestFit="1" customWidth="1"/>
  </cols>
  <sheetData>
    <row r="1" spans="1:8" ht="15.75" x14ac:dyDescent="0.25">
      <c r="A1" s="100" t="s">
        <v>0</v>
      </c>
      <c r="B1" s="100"/>
      <c r="C1" s="100"/>
      <c r="D1" s="100"/>
      <c r="E1" s="100"/>
      <c r="F1" s="100"/>
      <c r="G1" s="100"/>
      <c r="H1" s="100"/>
    </row>
    <row r="2" spans="1:8" ht="15.75" x14ac:dyDescent="0.25">
      <c r="A2" s="100" t="s">
        <v>12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21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6" t="s">
        <v>5</v>
      </c>
      <c r="F4" s="16" t="s">
        <v>6</v>
      </c>
      <c r="G4" s="102" t="s">
        <v>7</v>
      </c>
      <c r="H4" s="102"/>
    </row>
    <row r="5" spans="1:8" ht="21" customHeight="1" x14ac:dyDescent="0.25">
      <c r="A5" s="9"/>
      <c r="B5" s="2"/>
      <c r="C5" s="2"/>
      <c r="D5" s="2" t="s">
        <v>79</v>
      </c>
      <c r="E5" s="3"/>
      <c r="F5" s="3"/>
      <c r="G5" s="3">
        <f>'AL AZIZ-LHR-2'!G36</f>
        <v>5750</v>
      </c>
      <c r="H5" s="2"/>
    </row>
    <row r="6" spans="1:8" ht="21" customHeight="1" x14ac:dyDescent="0.25">
      <c r="A6" s="9">
        <v>43944</v>
      </c>
      <c r="B6" s="2" t="s">
        <v>10</v>
      </c>
      <c r="C6" s="2" t="s">
        <v>112</v>
      </c>
      <c r="D6" s="2" t="s">
        <v>108</v>
      </c>
      <c r="E6" s="13">
        <v>0</v>
      </c>
      <c r="F6" s="13">
        <v>2250</v>
      </c>
      <c r="G6" s="3">
        <f>G5+F6-E6</f>
        <v>8000</v>
      </c>
      <c r="H6" s="2" t="str">
        <f>IF(G6=0,"NIL",IF(G6&gt;0,"CR","DR"))</f>
        <v>CR</v>
      </c>
    </row>
    <row r="7" spans="1:8" ht="21" customHeight="1" x14ac:dyDescent="0.25">
      <c r="A7" s="9">
        <v>43949</v>
      </c>
      <c r="B7" s="2" t="s">
        <v>8</v>
      </c>
      <c r="C7" s="2" t="s">
        <v>109</v>
      </c>
      <c r="D7" s="2" t="s">
        <v>11</v>
      </c>
      <c r="E7" s="13">
        <v>8000</v>
      </c>
      <c r="F7" s="13">
        <v>0</v>
      </c>
      <c r="G7" s="3">
        <f t="shared" ref="G7:G35" si="0">G6+F7-E7</f>
        <v>0</v>
      </c>
      <c r="H7" s="2" t="str">
        <f t="shared" ref="H7:H36" si="1">IF(G7=0,"NIL",IF(G7&gt;0,"CR","DR"))</f>
        <v>NIL</v>
      </c>
    </row>
    <row r="8" spans="1:8" ht="21" customHeight="1" x14ac:dyDescent="0.25">
      <c r="A8" s="9">
        <v>43951</v>
      </c>
      <c r="B8" s="2" t="s">
        <v>10</v>
      </c>
      <c r="C8" s="2" t="s">
        <v>110</v>
      </c>
      <c r="D8" s="2" t="s">
        <v>111</v>
      </c>
      <c r="E8" s="13">
        <v>0</v>
      </c>
      <c r="F8" s="13">
        <v>7600</v>
      </c>
      <c r="G8" s="3">
        <f t="shared" si="0"/>
        <v>7600</v>
      </c>
      <c r="H8" s="2" t="str">
        <f t="shared" si="1"/>
        <v>CR</v>
      </c>
    </row>
    <row r="9" spans="1:8" ht="21" customHeight="1" x14ac:dyDescent="0.25">
      <c r="A9" s="9">
        <v>43950</v>
      </c>
      <c r="B9" s="2" t="s">
        <v>10</v>
      </c>
      <c r="C9" s="2" t="s">
        <v>113</v>
      </c>
      <c r="D9" s="2" t="s">
        <v>108</v>
      </c>
      <c r="E9" s="13">
        <v>0</v>
      </c>
      <c r="F9" s="13">
        <v>2200</v>
      </c>
      <c r="G9" s="3">
        <f t="shared" si="0"/>
        <v>9800</v>
      </c>
      <c r="H9" s="2" t="str">
        <f t="shared" si="1"/>
        <v>CR</v>
      </c>
    </row>
    <row r="10" spans="1:8" ht="21" customHeight="1" x14ac:dyDescent="0.25">
      <c r="A10" s="9">
        <v>43958</v>
      </c>
      <c r="B10" s="2" t="s">
        <v>10</v>
      </c>
      <c r="C10" s="12" t="s">
        <v>114</v>
      </c>
      <c r="D10" s="2" t="s">
        <v>82</v>
      </c>
      <c r="E10" s="13">
        <v>0</v>
      </c>
      <c r="F10" s="13">
        <v>5700</v>
      </c>
      <c r="G10" s="3">
        <f t="shared" si="0"/>
        <v>15500</v>
      </c>
      <c r="H10" s="2" t="str">
        <f t="shared" si="1"/>
        <v>CR</v>
      </c>
    </row>
    <row r="11" spans="1:8" ht="21" customHeight="1" x14ac:dyDescent="0.25">
      <c r="A11" s="9">
        <v>43972</v>
      </c>
      <c r="B11" s="2" t="s">
        <v>10</v>
      </c>
      <c r="C11" s="12" t="s">
        <v>115</v>
      </c>
      <c r="D11" s="2" t="s">
        <v>70</v>
      </c>
      <c r="E11" s="13">
        <v>0</v>
      </c>
      <c r="F11" s="13">
        <v>5700</v>
      </c>
      <c r="G11" s="3">
        <f t="shared" si="0"/>
        <v>21200</v>
      </c>
      <c r="H11" s="2" t="str">
        <f t="shared" si="1"/>
        <v>CR</v>
      </c>
    </row>
    <row r="12" spans="1:8" ht="21" customHeight="1" x14ac:dyDescent="0.25">
      <c r="A12" s="9">
        <v>43978</v>
      </c>
      <c r="B12" s="2" t="s">
        <v>10</v>
      </c>
      <c r="C12" s="12" t="s">
        <v>116</v>
      </c>
      <c r="D12" s="2" t="s">
        <v>117</v>
      </c>
      <c r="E12" s="13">
        <v>0</v>
      </c>
      <c r="F12" s="13">
        <v>2200</v>
      </c>
      <c r="G12" s="3">
        <f t="shared" si="0"/>
        <v>23400</v>
      </c>
      <c r="H12" s="2" t="str">
        <f t="shared" si="1"/>
        <v>CR</v>
      </c>
    </row>
    <row r="13" spans="1:8" ht="21" customHeight="1" x14ac:dyDescent="0.25">
      <c r="A13" s="9">
        <v>43981</v>
      </c>
      <c r="B13" s="2" t="s">
        <v>10</v>
      </c>
      <c r="C13" s="12" t="s">
        <v>118</v>
      </c>
      <c r="D13" s="2" t="s">
        <v>119</v>
      </c>
      <c r="E13" s="13">
        <v>0</v>
      </c>
      <c r="F13" s="13">
        <v>6600</v>
      </c>
      <c r="G13" s="3">
        <f t="shared" si="0"/>
        <v>30000</v>
      </c>
      <c r="H13" s="2" t="str">
        <f t="shared" si="1"/>
        <v>CR</v>
      </c>
    </row>
    <row r="14" spans="1:8" ht="21" customHeight="1" x14ac:dyDescent="0.25">
      <c r="A14" s="9">
        <v>43984</v>
      </c>
      <c r="B14" s="2" t="s">
        <v>10</v>
      </c>
      <c r="C14" s="12" t="s">
        <v>120</v>
      </c>
      <c r="D14" s="2" t="s">
        <v>121</v>
      </c>
      <c r="E14" s="13">
        <v>0</v>
      </c>
      <c r="F14" s="13">
        <v>8050</v>
      </c>
      <c r="G14" s="3">
        <f t="shared" si="0"/>
        <v>38050</v>
      </c>
      <c r="H14" s="2" t="str">
        <f t="shared" si="1"/>
        <v>CR</v>
      </c>
    </row>
    <row r="15" spans="1:8" ht="21" customHeight="1" x14ac:dyDescent="0.25">
      <c r="A15" s="9">
        <v>43986</v>
      </c>
      <c r="B15" s="2" t="s">
        <v>8</v>
      </c>
      <c r="C15" s="12" t="s">
        <v>122</v>
      </c>
      <c r="D15" s="2" t="s">
        <v>11</v>
      </c>
      <c r="E15" s="13">
        <v>38050</v>
      </c>
      <c r="F15" s="13">
        <v>0</v>
      </c>
      <c r="G15" s="3">
        <f t="shared" si="0"/>
        <v>0</v>
      </c>
      <c r="H15" s="2" t="str">
        <f t="shared" si="1"/>
        <v>NIL</v>
      </c>
    </row>
    <row r="16" spans="1:8" ht="21" customHeight="1" x14ac:dyDescent="0.25">
      <c r="A16" s="9">
        <v>44012</v>
      </c>
      <c r="B16" s="2" t="s">
        <v>10</v>
      </c>
      <c r="C16" s="2" t="s">
        <v>123</v>
      </c>
      <c r="D16" s="2" t="s">
        <v>124</v>
      </c>
      <c r="E16" s="13">
        <v>0</v>
      </c>
      <c r="F16" s="13">
        <v>2100</v>
      </c>
      <c r="G16" s="3">
        <f>G15+F16-E16</f>
        <v>2100</v>
      </c>
      <c r="H16" s="2" t="str">
        <f t="shared" si="1"/>
        <v>CR</v>
      </c>
    </row>
    <row r="17" spans="1:8" ht="21" customHeight="1" x14ac:dyDescent="0.25">
      <c r="A17" s="9">
        <v>44013</v>
      </c>
      <c r="B17" s="2" t="s">
        <v>10</v>
      </c>
      <c r="C17" s="2" t="s">
        <v>125</v>
      </c>
      <c r="D17" s="2" t="s">
        <v>28</v>
      </c>
      <c r="E17" s="13">
        <v>0</v>
      </c>
      <c r="F17" s="13">
        <v>2200</v>
      </c>
      <c r="G17" s="3">
        <f t="shared" si="0"/>
        <v>4300</v>
      </c>
      <c r="H17" s="2" t="str">
        <f t="shared" si="1"/>
        <v>CR</v>
      </c>
    </row>
    <row r="18" spans="1:8" ht="21" customHeight="1" x14ac:dyDescent="0.25">
      <c r="A18" s="9">
        <v>44015</v>
      </c>
      <c r="B18" s="2" t="s">
        <v>8</v>
      </c>
      <c r="C18" s="12" t="s">
        <v>133</v>
      </c>
      <c r="D18" s="2" t="s">
        <v>126</v>
      </c>
      <c r="E18" s="13">
        <v>4300</v>
      </c>
      <c r="F18" s="13">
        <v>0</v>
      </c>
      <c r="G18" s="3">
        <f t="shared" si="0"/>
        <v>0</v>
      </c>
      <c r="H18" s="2" t="str">
        <f t="shared" si="1"/>
        <v>NIL</v>
      </c>
    </row>
    <row r="19" spans="1:8" ht="21" customHeight="1" x14ac:dyDescent="0.25">
      <c r="A19" s="9">
        <v>44018</v>
      </c>
      <c r="B19" s="2" t="s">
        <v>10</v>
      </c>
      <c r="C19" s="2" t="s">
        <v>127</v>
      </c>
      <c r="D19" s="2" t="s">
        <v>128</v>
      </c>
      <c r="E19" s="3">
        <v>0</v>
      </c>
      <c r="F19" s="3">
        <v>7750</v>
      </c>
      <c r="G19" s="3">
        <f t="shared" si="0"/>
        <v>7750</v>
      </c>
      <c r="H19" s="2" t="str">
        <f t="shared" si="1"/>
        <v>CR</v>
      </c>
    </row>
    <row r="20" spans="1:8" ht="21" customHeight="1" x14ac:dyDescent="0.25">
      <c r="A20" s="9">
        <v>44019</v>
      </c>
      <c r="B20" s="2" t="s">
        <v>129</v>
      </c>
      <c r="C20" s="2" t="s">
        <v>33</v>
      </c>
      <c r="D20" s="2" t="s">
        <v>130</v>
      </c>
      <c r="E20" s="3">
        <v>7750</v>
      </c>
      <c r="F20" s="3">
        <v>0</v>
      </c>
      <c r="G20" s="3">
        <f t="shared" si="0"/>
        <v>0</v>
      </c>
      <c r="H20" s="2" t="str">
        <f t="shared" si="1"/>
        <v>NIL</v>
      </c>
    </row>
    <row r="21" spans="1:8" ht="21" customHeight="1" x14ac:dyDescent="0.25">
      <c r="A21" s="9">
        <v>44022</v>
      </c>
      <c r="B21" s="2" t="s">
        <v>10</v>
      </c>
      <c r="C21" s="2" t="s">
        <v>131</v>
      </c>
      <c r="D21" s="2" t="s">
        <v>132</v>
      </c>
      <c r="E21" s="3">
        <v>0</v>
      </c>
      <c r="F21" s="3">
        <v>3100</v>
      </c>
      <c r="G21" s="3">
        <f t="shared" si="0"/>
        <v>3100</v>
      </c>
      <c r="H21" s="2" t="str">
        <f t="shared" si="1"/>
        <v>CR</v>
      </c>
    </row>
    <row r="22" spans="1:8" ht="21" customHeight="1" x14ac:dyDescent="0.25">
      <c r="A22" s="9">
        <v>44027</v>
      </c>
      <c r="B22" s="2" t="s">
        <v>8</v>
      </c>
      <c r="C22" s="2" t="s">
        <v>133</v>
      </c>
      <c r="D22" s="2" t="s">
        <v>126</v>
      </c>
      <c r="E22" s="3">
        <v>3100</v>
      </c>
      <c r="F22" s="3">
        <v>0</v>
      </c>
      <c r="G22" s="3">
        <f t="shared" si="0"/>
        <v>0</v>
      </c>
      <c r="H22" s="2" t="str">
        <f t="shared" si="1"/>
        <v>NIL</v>
      </c>
    </row>
    <row r="23" spans="1:8" ht="21" customHeight="1" x14ac:dyDescent="0.25">
      <c r="A23" s="9">
        <v>44028</v>
      </c>
      <c r="B23" s="2" t="s">
        <v>10</v>
      </c>
      <c r="C23" s="12" t="s">
        <v>134</v>
      </c>
      <c r="D23" s="2" t="s">
        <v>135</v>
      </c>
      <c r="E23" s="3">
        <v>0</v>
      </c>
      <c r="F23" s="3">
        <v>1100</v>
      </c>
      <c r="G23" s="3">
        <f t="shared" si="0"/>
        <v>1100</v>
      </c>
      <c r="H23" s="2" t="str">
        <f t="shared" si="1"/>
        <v>CR</v>
      </c>
    </row>
    <row r="24" spans="1:8" ht="21" customHeight="1" x14ac:dyDescent="0.25">
      <c r="A24" s="9">
        <v>44028</v>
      </c>
      <c r="B24" s="2" t="s">
        <v>10</v>
      </c>
      <c r="C24" s="12" t="s">
        <v>136</v>
      </c>
      <c r="D24" s="2" t="s">
        <v>20</v>
      </c>
      <c r="E24" s="3">
        <v>0</v>
      </c>
      <c r="F24" s="3">
        <v>5650</v>
      </c>
      <c r="G24" s="3">
        <f t="shared" si="0"/>
        <v>6750</v>
      </c>
      <c r="H24" s="2" t="str">
        <f t="shared" si="1"/>
        <v>CR</v>
      </c>
    </row>
    <row r="25" spans="1:8" ht="21" customHeight="1" x14ac:dyDescent="0.25">
      <c r="A25" s="9">
        <v>44034</v>
      </c>
      <c r="B25" s="2" t="s">
        <v>10</v>
      </c>
      <c r="C25" s="12" t="s">
        <v>137</v>
      </c>
      <c r="D25" s="2" t="s">
        <v>138</v>
      </c>
      <c r="E25" s="3">
        <v>0</v>
      </c>
      <c r="F25" s="3">
        <v>1600</v>
      </c>
      <c r="G25" s="3">
        <f t="shared" si="0"/>
        <v>8350</v>
      </c>
      <c r="H25" s="2" t="str">
        <f t="shared" si="1"/>
        <v>CR</v>
      </c>
    </row>
    <row r="26" spans="1:8" ht="21" customHeight="1" x14ac:dyDescent="0.25">
      <c r="A26" s="9">
        <v>44035</v>
      </c>
      <c r="B26" s="2" t="s">
        <v>10</v>
      </c>
      <c r="C26" s="2" t="s">
        <v>139</v>
      </c>
      <c r="D26" s="2" t="s">
        <v>140</v>
      </c>
      <c r="E26" s="3">
        <v>0</v>
      </c>
      <c r="F26" s="3">
        <v>1600</v>
      </c>
      <c r="G26" s="3">
        <f t="shared" si="0"/>
        <v>9950</v>
      </c>
      <c r="H26" s="2" t="str">
        <f t="shared" si="1"/>
        <v>CR</v>
      </c>
    </row>
    <row r="27" spans="1:8" ht="21" customHeight="1" x14ac:dyDescent="0.25">
      <c r="A27" s="9">
        <v>44039</v>
      </c>
      <c r="B27" s="2" t="s">
        <v>10</v>
      </c>
      <c r="C27" s="12" t="s">
        <v>141</v>
      </c>
      <c r="D27" s="2" t="s">
        <v>142</v>
      </c>
      <c r="E27" s="3">
        <v>0</v>
      </c>
      <c r="F27" s="3">
        <v>7200</v>
      </c>
      <c r="G27" s="3">
        <f t="shared" si="0"/>
        <v>17150</v>
      </c>
      <c r="H27" s="2" t="str">
        <f t="shared" si="1"/>
        <v>CR</v>
      </c>
    </row>
    <row r="28" spans="1:8" ht="21" customHeight="1" x14ac:dyDescent="0.25">
      <c r="A28" s="9">
        <v>44040</v>
      </c>
      <c r="B28" s="2" t="s">
        <v>8</v>
      </c>
      <c r="C28" s="12" t="s">
        <v>133</v>
      </c>
      <c r="D28" s="2" t="s">
        <v>126</v>
      </c>
      <c r="E28" s="3">
        <v>17150</v>
      </c>
      <c r="F28" s="3">
        <v>0</v>
      </c>
      <c r="G28" s="3">
        <f t="shared" si="0"/>
        <v>0</v>
      </c>
      <c r="H28" s="2" t="str">
        <f t="shared" si="1"/>
        <v>NIL</v>
      </c>
    </row>
    <row r="29" spans="1:8" ht="21" customHeight="1" x14ac:dyDescent="0.25">
      <c r="A29" s="9">
        <v>44048</v>
      </c>
      <c r="B29" s="2" t="s">
        <v>10</v>
      </c>
      <c r="C29" s="12" t="s">
        <v>143</v>
      </c>
      <c r="D29" s="2" t="s">
        <v>144</v>
      </c>
      <c r="E29" s="3">
        <v>0</v>
      </c>
      <c r="F29" s="3">
        <v>2200</v>
      </c>
      <c r="G29" s="3">
        <f t="shared" si="0"/>
        <v>2200</v>
      </c>
      <c r="H29" s="2" t="str">
        <f t="shared" si="1"/>
        <v>CR</v>
      </c>
    </row>
    <row r="30" spans="1:8" ht="21" customHeight="1" x14ac:dyDescent="0.25">
      <c r="A30" s="9">
        <v>44051</v>
      </c>
      <c r="B30" s="2" t="s">
        <v>10</v>
      </c>
      <c r="C30" s="2" t="s">
        <v>145</v>
      </c>
      <c r="D30" s="2" t="s">
        <v>146</v>
      </c>
      <c r="E30" s="3">
        <v>0</v>
      </c>
      <c r="F30" s="3">
        <v>2200</v>
      </c>
      <c r="G30" s="3">
        <f t="shared" si="0"/>
        <v>4400</v>
      </c>
      <c r="H30" s="2" t="str">
        <f t="shared" si="1"/>
        <v>CR</v>
      </c>
    </row>
    <row r="31" spans="1:8" ht="21" customHeight="1" x14ac:dyDescent="0.25">
      <c r="A31" s="9">
        <v>44053</v>
      </c>
      <c r="B31" s="2" t="s">
        <v>8</v>
      </c>
      <c r="C31" s="2" t="s">
        <v>133</v>
      </c>
      <c r="D31" s="2" t="s">
        <v>126</v>
      </c>
      <c r="E31" s="3">
        <v>4400</v>
      </c>
      <c r="F31" s="3">
        <v>0</v>
      </c>
      <c r="G31" s="3">
        <f t="shared" si="0"/>
        <v>0</v>
      </c>
      <c r="H31" s="2" t="str">
        <f t="shared" si="1"/>
        <v>NIL</v>
      </c>
    </row>
    <row r="32" spans="1:8" ht="21" customHeight="1" x14ac:dyDescent="0.25">
      <c r="A32" s="9">
        <v>44053</v>
      </c>
      <c r="B32" s="2" t="s">
        <v>10</v>
      </c>
      <c r="C32" s="2" t="s">
        <v>147</v>
      </c>
      <c r="D32" s="2" t="s">
        <v>148</v>
      </c>
      <c r="E32" s="3">
        <v>0</v>
      </c>
      <c r="F32" s="3">
        <v>7900</v>
      </c>
      <c r="G32" s="3">
        <f t="shared" si="0"/>
        <v>7900</v>
      </c>
      <c r="H32" s="2" t="str">
        <f t="shared" si="1"/>
        <v>CR</v>
      </c>
    </row>
    <row r="33" spans="1:8" ht="21" customHeight="1" x14ac:dyDescent="0.25">
      <c r="A33" s="9">
        <v>44056</v>
      </c>
      <c r="B33" s="2" t="s">
        <v>10</v>
      </c>
      <c r="C33" s="2" t="s">
        <v>149</v>
      </c>
      <c r="D33" s="2" t="s">
        <v>150</v>
      </c>
      <c r="E33" s="3">
        <v>0</v>
      </c>
      <c r="F33" s="3">
        <v>10950</v>
      </c>
      <c r="G33" s="3">
        <f t="shared" si="0"/>
        <v>18850</v>
      </c>
      <c r="H33" s="2" t="str">
        <f t="shared" si="1"/>
        <v>CR</v>
      </c>
    </row>
    <row r="34" spans="1:8" ht="21" customHeight="1" x14ac:dyDescent="0.25">
      <c r="A34" s="9">
        <v>44058</v>
      </c>
      <c r="B34" s="2" t="s">
        <v>8</v>
      </c>
      <c r="C34" s="2" t="s">
        <v>151</v>
      </c>
      <c r="D34" s="2" t="s">
        <v>126</v>
      </c>
      <c r="E34" s="3">
        <v>18850</v>
      </c>
      <c r="F34" s="3">
        <v>0</v>
      </c>
      <c r="G34" s="3">
        <f t="shared" si="0"/>
        <v>0</v>
      </c>
      <c r="H34" s="2" t="str">
        <f t="shared" si="1"/>
        <v>NIL</v>
      </c>
    </row>
    <row r="35" spans="1:8" ht="21" customHeight="1" x14ac:dyDescent="0.25">
      <c r="A35" s="9"/>
      <c r="B35" s="2"/>
      <c r="C35" s="2"/>
      <c r="D35" s="2" t="s">
        <v>152</v>
      </c>
      <c r="E35" s="3"/>
      <c r="F35" s="3"/>
      <c r="G35" s="3">
        <f t="shared" si="0"/>
        <v>0</v>
      </c>
      <c r="H35" s="2" t="str">
        <f t="shared" si="1"/>
        <v>NIL</v>
      </c>
    </row>
    <row r="36" spans="1:8" ht="21" customHeight="1" x14ac:dyDescent="0.25">
      <c r="A36" s="10"/>
      <c r="B36" s="4"/>
      <c r="C36" s="4"/>
      <c r="D36" s="4" t="s">
        <v>9</v>
      </c>
      <c r="E36" s="5">
        <f>SUM(E6:E35)</f>
        <v>101600</v>
      </c>
      <c r="F36" s="5">
        <f>SUM(F6:F35)</f>
        <v>95850</v>
      </c>
      <c r="G36" s="5">
        <f>G5+F36-E36</f>
        <v>0</v>
      </c>
      <c r="H36" s="4" t="str">
        <f t="shared" si="1"/>
        <v>NIL</v>
      </c>
    </row>
  </sheetData>
  <mergeCells count="4">
    <mergeCell ref="A1:H1"/>
    <mergeCell ref="A2:H2"/>
    <mergeCell ref="A3:H3"/>
    <mergeCell ref="G4:H4"/>
  </mergeCells>
  <printOptions horizontalCentered="1"/>
  <pageMargins left="0.7" right="0.7" top="0.75" bottom="0.75" header="0.3" footer="0.3"/>
  <pageSetup paperSize="9" scale="8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36"/>
  <sheetViews>
    <sheetView zoomScaleNormal="100" workbookViewId="0">
      <pane ySplit="4" topLeftCell="A11" activePane="bottomLeft" state="frozen"/>
      <selection pane="bottomLeft" activeCell="D11" sqref="D11"/>
    </sheetView>
  </sheetViews>
  <sheetFormatPr defaultRowHeight="15" x14ac:dyDescent="0.25"/>
  <cols>
    <col min="1" max="1" width="12.140625" style="11" bestFit="1" customWidth="1"/>
    <col min="2" max="2" width="12" bestFit="1" customWidth="1"/>
    <col min="3" max="3" width="16.5703125" bestFit="1" customWidth="1"/>
    <col min="4" max="4" width="37.140625" bestFit="1" customWidth="1"/>
    <col min="5" max="7" width="9" style="1" bestFit="1" customWidth="1"/>
    <col min="8" max="8" width="3.28515625" bestFit="1" customWidth="1"/>
  </cols>
  <sheetData>
    <row r="1" spans="1:8" ht="15.75" x14ac:dyDescent="0.25">
      <c r="A1" s="100" t="s">
        <v>0</v>
      </c>
      <c r="B1" s="100"/>
      <c r="C1" s="100"/>
      <c r="D1" s="100"/>
      <c r="E1" s="100"/>
      <c r="F1" s="100"/>
      <c r="G1" s="100"/>
      <c r="H1" s="100"/>
    </row>
    <row r="2" spans="1:8" ht="15.75" x14ac:dyDescent="0.25">
      <c r="A2" s="100" t="s">
        <v>12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21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6" t="s">
        <v>5</v>
      </c>
      <c r="F4" s="16" t="s">
        <v>6</v>
      </c>
      <c r="G4" s="102" t="s">
        <v>7</v>
      </c>
      <c r="H4" s="102"/>
    </row>
    <row r="5" spans="1:8" ht="21" customHeight="1" x14ac:dyDescent="0.25">
      <c r="A5" s="9"/>
      <c r="B5" s="2"/>
      <c r="C5" s="2"/>
      <c r="D5" s="2" t="s">
        <v>79</v>
      </c>
      <c r="E5" s="3"/>
      <c r="F5" s="3"/>
      <c r="G5" s="3">
        <f>'AL AZIZ-LHR-3'!G36</f>
        <v>0</v>
      </c>
      <c r="H5" s="2"/>
    </row>
    <row r="6" spans="1:8" ht="21" customHeight="1" x14ac:dyDescent="0.25">
      <c r="A6" s="9">
        <v>44062</v>
      </c>
      <c r="B6" s="2" t="s">
        <v>10</v>
      </c>
      <c r="C6" s="2" t="s">
        <v>153</v>
      </c>
      <c r="D6" s="2" t="s">
        <v>154</v>
      </c>
      <c r="E6" s="13">
        <v>0</v>
      </c>
      <c r="F6" s="13">
        <v>700</v>
      </c>
      <c r="G6" s="3">
        <f>G5+F6-E6</f>
        <v>700</v>
      </c>
      <c r="H6" s="2" t="str">
        <f>IF(G6=0,"NIL",IF(G6&gt;0,"CR","DR"))</f>
        <v>CR</v>
      </c>
    </row>
    <row r="7" spans="1:8" ht="21" customHeight="1" x14ac:dyDescent="0.25">
      <c r="A7" s="19">
        <v>44068</v>
      </c>
      <c r="B7" s="20" t="s">
        <v>8</v>
      </c>
      <c r="C7" s="20" t="s">
        <v>192</v>
      </c>
      <c r="D7" s="20" t="s">
        <v>155</v>
      </c>
      <c r="E7" s="21">
        <v>700</v>
      </c>
      <c r="F7" s="13"/>
      <c r="G7" s="3">
        <f t="shared" ref="G7:G35" si="0">G6+F7-E7</f>
        <v>0</v>
      </c>
      <c r="H7" s="2" t="str">
        <f t="shared" ref="H7:H36" si="1">IF(G7=0,"NIL",IF(G7&gt;0,"CR","DR"))</f>
        <v>NIL</v>
      </c>
    </row>
    <row r="8" spans="1:8" ht="21" customHeight="1" x14ac:dyDescent="0.25">
      <c r="A8" s="9">
        <v>44092</v>
      </c>
      <c r="B8" s="2" t="s">
        <v>10</v>
      </c>
      <c r="C8" s="2" t="s">
        <v>156</v>
      </c>
      <c r="D8" s="2" t="s">
        <v>28</v>
      </c>
      <c r="E8" s="13">
        <v>0</v>
      </c>
      <c r="F8" s="13">
        <v>2200</v>
      </c>
      <c r="G8" s="3">
        <f t="shared" si="0"/>
        <v>2200</v>
      </c>
      <c r="H8" s="2" t="str">
        <f t="shared" si="1"/>
        <v>CR</v>
      </c>
    </row>
    <row r="9" spans="1:8" ht="21" customHeight="1" x14ac:dyDescent="0.25">
      <c r="A9" s="9">
        <v>44111</v>
      </c>
      <c r="B9" s="2" t="s">
        <v>10</v>
      </c>
      <c r="C9" s="2" t="s">
        <v>157</v>
      </c>
      <c r="D9" s="2" t="s">
        <v>158</v>
      </c>
      <c r="E9" s="13">
        <v>0</v>
      </c>
      <c r="F9" s="13">
        <v>7250</v>
      </c>
      <c r="G9" s="3">
        <f t="shared" si="0"/>
        <v>9450</v>
      </c>
      <c r="H9" s="2" t="str">
        <f t="shared" si="1"/>
        <v>CR</v>
      </c>
    </row>
    <row r="10" spans="1:8" ht="21" customHeight="1" x14ac:dyDescent="0.25">
      <c r="A10" s="9">
        <v>44116</v>
      </c>
      <c r="B10" s="2" t="s">
        <v>8</v>
      </c>
      <c r="C10" s="12" t="s">
        <v>133</v>
      </c>
      <c r="D10" s="2" t="s">
        <v>155</v>
      </c>
      <c r="E10" s="13">
        <v>9450</v>
      </c>
      <c r="F10" s="13">
        <v>0</v>
      </c>
      <c r="G10" s="3">
        <f t="shared" si="0"/>
        <v>0</v>
      </c>
      <c r="H10" s="2" t="str">
        <f t="shared" si="1"/>
        <v>NIL</v>
      </c>
    </row>
    <row r="11" spans="1:8" ht="21" customHeight="1" x14ac:dyDescent="0.25">
      <c r="A11" s="9">
        <v>44116</v>
      </c>
      <c r="B11" s="2" t="s">
        <v>10</v>
      </c>
      <c r="C11" s="12" t="s">
        <v>161</v>
      </c>
      <c r="D11" s="2" t="s">
        <v>162</v>
      </c>
      <c r="E11" s="13">
        <v>0</v>
      </c>
      <c r="F11" s="13">
        <v>700</v>
      </c>
      <c r="G11" s="3">
        <f t="shared" si="0"/>
        <v>700</v>
      </c>
      <c r="H11" s="2" t="str">
        <f t="shared" si="1"/>
        <v>CR</v>
      </c>
    </row>
    <row r="12" spans="1:8" ht="21" customHeight="1" x14ac:dyDescent="0.25">
      <c r="A12" s="9">
        <v>44117</v>
      </c>
      <c r="B12" s="2" t="s">
        <v>10</v>
      </c>
      <c r="C12" s="12" t="s">
        <v>159</v>
      </c>
      <c r="D12" s="2" t="s">
        <v>160</v>
      </c>
      <c r="E12" s="13">
        <v>0</v>
      </c>
      <c r="F12" s="13">
        <v>1600</v>
      </c>
      <c r="G12" s="3">
        <f t="shared" si="0"/>
        <v>2300</v>
      </c>
      <c r="H12" s="2" t="str">
        <f t="shared" si="1"/>
        <v>CR</v>
      </c>
    </row>
    <row r="13" spans="1:8" ht="21" customHeight="1" x14ac:dyDescent="0.25">
      <c r="A13" s="9">
        <v>44118</v>
      </c>
      <c r="B13" s="2" t="s">
        <v>10</v>
      </c>
      <c r="C13" s="12" t="s">
        <v>163</v>
      </c>
      <c r="D13" s="2" t="s">
        <v>164</v>
      </c>
      <c r="E13" s="13"/>
      <c r="F13" s="13">
        <v>4200</v>
      </c>
      <c r="G13" s="3">
        <f t="shared" si="0"/>
        <v>6500</v>
      </c>
      <c r="H13" s="2" t="str">
        <f t="shared" si="1"/>
        <v>CR</v>
      </c>
    </row>
    <row r="14" spans="1:8" ht="21" customHeight="1" x14ac:dyDescent="0.25">
      <c r="A14" s="9">
        <v>44121</v>
      </c>
      <c r="B14" s="2" t="s">
        <v>10</v>
      </c>
      <c r="C14" s="12" t="s">
        <v>165</v>
      </c>
      <c r="D14" s="2" t="s">
        <v>166</v>
      </c>
      <c r="E14" s="13">
        <v>0</v>
      </c>
      <c r="F14" s="13">
        <v>3200</v>
      </c>
      <c r="G14" s="3">
        <f t="shared" si="0"/>
        <v>9700</v>
      </c>
      <c r="H14" s="2" t="str">
        <f t="shared" si="1"/>
        <v>CR</v>
      </c>
    </row>
    <row r="15" spans="1:8" ht="21" customHeight="1" x14ac:dyDescent="0.25">
      <c r="A15" s="19">
        <v>44124</v>
      </c>
      <c r="B15" s="20" t="s">
        <v>8</v>
      </c>
      <c r="C15" s="22" t="s">
        <v>193</v>
      </c>
      <c r="D15" s="20" t="s">
        <v>155</v>
      </c>
      <c r="E15" s="21">
        <v>9700</v>
      </c>
      <c r="F15" s="13">
        <v>0</v>
      </c>
      <c r="G15" s="3">
        <f t="shared" si="0"/>
        <v>0</v>
      </c>
      <c r="H15" s="2" t="str">
        <f t="shared" si="1"/>
        <v>NIL</v>
      </c>
    </row>
    <row r="16" spans="1:8" ht="21" customHeight="1" x14ac:dyDescent="0.25">
      <c r="A16" s="9">
        <v>44126</v>
      </c>
      <c r="B16" s="2" t="s">
        <v>10</v>
      </c>
      <c r="C16" s="2" t="s">
        <v>167</v>
      </c>
      <c r="D16" s="2" t="s">
        <v>168</v>
      </c>
      <c r="E16" s="13">
        <v>0</v>
      </c>
      <c r="F16" s="13">
        <v>16000</v>
      </c>
      <c r="G16" s="3">
        <f>G15+F16-E16</f>
        <v>16000</v>
      </c>
      <c r="H16" s="2" t="str">
        <f t="shared" si="1"/>
        <v>CR</v>
      </c>
    </row>
    <row r="17" spans="1:8" ht="21" customHeight="1" x14ac:dyDescent="0.25">
      <c r="A17" s="9">
        <v>44143</v>
      </c>
      <c r="B17" s="2" t="s">
        <v>8</v>
      </c>
      <c r="C17" s="2" t="s">
        <v>133</v>
      </c>
      <c r="D17" s="2" t="s">
        <v>155</v>
      </c>
      <c r="E17" s="13">
        <v>16000</v>
      </c>
      <c r="F17" s="13">
        <v>0</v>
      </c>
      <c r="G17" s="3">
        <f t="shared" si="0"/>
        <v>0</v>
      </c>
      <c r="H17" s="2" t="str">
        <f t="shared" si="1"/>
        <v>NIL</v>
      </c>
    </row>
    <row r="18" spans="1:8" ht="21" customHeight="1" x14ac:dyDescent="0.25">
      <c r="A18" s="9">
        <v>44147</v>
      </c>
      <c r="B18" s="2" t="s">
        <v>10</v>
      </c>
      <c r="C18" s="12" t="s">
        <v>169</v>
      </c>
      <c r="D18" s="2" t="s">
        <v>170</v>
      </c>
      <c r="E18" s="13">
        <v>0</v>
      </c>
      <c r="F18" s="13">
        <v>1500</v>
      </c>
      <c r="G18" s="3">
        <f t="shared" si="0"/>
        <v>1500</v>
      </c>
      <c r="H18" s="2" t="str">
        <f t="shared" si="1"/>
        <v>CR</v>
      </c>
    </row>
    <row r="19" spans="1:8" ht="21" customHeight="1" x14ac:dyDescent="0.25">
      <c r="A19" s="19">
        <v>44147</v>
      </c>
      <c r="B19" s="20" t="s">
        <v>33</v>
      </c>
      <c r="C19" s="20" t="s">
        <v>171</v>
      </c>
      <c r="D19" s="20" t="s">
        <v>172</v>
      </c>
      <c r="E19" s="21">
        <v>1500</v>
      </c>
      <c r="F19" s="3">
        <v>0</v>
      </c>
      <c r="G19" s="3">
        <f t="shared" si="0"/>
        <v>0</v>
      </c>
      <c r="H19" s="2" t="str">
        <f t="shared" si="1"/>
        <v>NIL</v>
      </c>
    </row>
    <row r="20" spans="1:8" ht="21" customHeight="1" x14ac:dyDescent="0.25">
      <c r="A20" s="9">
        <v>44152</v>
      </c>
      <c r="B20" s="2" t="s">
        <v>10</v>
      </c>
      <c r="C20" s="2" t="s">
        <v>173</v>
      </c>
      <c r="D20" s="2" t="s">
        <v>174</v>
      </c>
      <c r="E20" s="3">
        <v>0</v>
      </c>
      <c r="F20" s="3">
        <v>1600</v>
      </c>
      <c r="G20" s="3">
        <f t="shared" si="0"/>
        <v>1600</v>
      </c>
      <c r="H20" s="2" t="str">
        <f t="shared" si="1"/>
        <v>CR</v>
      </c>
    </row>
    <row r="21" spans="1:8" ht="21" customHeight="1" x14ac:dyDescent="0.25">
      <c r="A21" s="9">
        <v>44156</v>
      </c>
      <c r="B21" s="2" t="s">
        <v>8</v>
      </c>
      <c r="C21" s="2" t="s">
        <v>133</v>
      </c>
      <c r="D21" s="2" t="s">
        <v>155</v>
      </c>
      <c r="E21" s="3">
        <v>1600</v>
      </c>
      <c r="F21" s="3"/>
      <c r="G21" s="3">
        <f t="shared" si="0"/>
        <v>0</v>
      </c>
      <c r="H21" s="2" t="str">
        <f t="shared" si="1"/>
        <v>NIL</v>
      </c>
    </row>
    <row r="22" spans="1:8" ht="21" customHeight="1" x14ac:dyDescent="0.25">
      <c r="A22" s="9">
        <v>44159</v>
      </c>
      <c r="B22" s="2" t="s">
        <v>10</v>
      </c>
      <c r="C22" s="2" t="s">
        <v>175</v>
      </c>
      <c r="D22" s="2" t="s">
        <v>176</v>
      </c>
      <c r="E22" s="3">
        <v>0</v>
      </c>
      <c r="F22" s="3">
        <v>2450</v>
      </c>
      <c r="G22" s="3">
        <f t="shared" si="0"/>
        <v>2450</v>
      </c>
      <c r="H22" s="2" t="str">
        <f t="shared" si="1"/>
        <v>CR</v>
      </c>
    </row>
    <row r="23" spans="1:8" ht="21" customHeight="1" x14ac:dyDescent="0.25">
      <c r="A23" s="9">
        <v>44167</v>
      </c>
      <c r="B23" s="2" t="s">
        <v>10</v>
      </c>
      <c r="C23" s="2" t="s">
        <v>177</v>
      </c>
      <c r="D23" s="2" t="s">
        <v>178</v>
      </c>
      <c r="E23" s="3">
        <v>0</v>
      </c>
      <c r="F23" s="3">
        <v>4800</v>
      </c>
      <c r="G23" s="3">
        <f t="shared" si="0"/>
        <v>7250</v>
      </c>
      <c r="H23" s="2" t="str">
        <f t="shared" si="1"/>
        <v>CR</v>
      </c>
    </row>
    <row r="24" spans="1:8" ht="21" customHeight="1" x14ac:dyDescent="0.25">
      <c r="A24" s="9">
        <v>44175</v>
      </c>
      <c r="B24" s="2" t="s">
        <v>8</v>
      </c>
      <c r="C24" s="12" t="s">
        <v>133</v>
      </c>
      <c r="D24" s="2" t="s">
        <v>155</v>
      </c>
      <c r="E24" s="3">
        <v>7250</v>
      </c>
      <c r="F24" s="3"/>
      <c r="G24" s="3">
        <f t="shared" si="0"/>
        <v>0</v>
      </c>
      <c r="H24" s="2" t="str">
        <f t="shared" si="1"/>
        <v>NIL</v>
      </c>
    </row>
    <row r="25" spans="1:8" ht="21" customHeight="1" x14ac:dyDescent="0.25">
      <c r="A25" s="9">
        <v>44179</v>
      </c>
      <c r="B25" s="2" t="s">
        <v>10</v>
      </c>
      <c r="C25" s="12" t="s">
        <v>184</v>
      </c>
      <c r="D25" s="2" t="s">
        <v>70</v>
      </c>
      <c r="E25" s="3">
        <v>0</v>
      </c>
      <c r="F25" s="3">
        <v>10250</v>
      </c>
      <c r="G25" s="3">
        <f t="shared" si="0"/>
        <v>10250</v>
      </c>
      <c r="H25" s="2" t="str">
        <f t="shared" si="1"/>
        <v>CR</v>
      </c>
    </row>
    <row r="26" spans="1:8" ht="21" customHeight="1" x14ac:dyDescent="0.25">
      <c r="A26" s="9">
        <v>44180</v>
      </c>
      <c r="B26" s="2" t="s">
        <v>10</v>
      </c>
      <c r="C26" s="2" t="s">
        <v>185</v>
      </c>
      <c r="D26" s="2" t="s">
        <v>186</v>
      </c>
      <c r="E26" s="3">
        <v>0</v>
      </c>
      <c r="F26" s="3">
        <v>3000</v>
      </c>
      <c r="G26" s="3">
        <f t="shared" si="0"/>
        <v>13250</v>
      </c>
      <c r="H26" s="2" t="str">
        <f t="shared" si="1"/>
        <v>CR</v>
      </c>
    </row>
    <row r="27" spans="1:8" ht="21" customHeight="1" x14ac:dyDescent="0.25">
      <c r="A27" s="9">
        <v>44183</v>
      </c>
      <c r="B27" s="2" t="s">
        <v>10</v>
      </c>
      <c r="C27" s="2" t="s">
        <v>187</v>
      </c>
      <c r="D27" s="2" t="s">
        <v>188</v>
      </c>
      <c r="E27" s="3">
        <v>0</v>
      </c>
      <c r="F27" s="3">
        <v>2500</v>
      </c>
      <c r="G27" s="3">
        <f t="shared" si="0"/>
        <v>15750</v>
      </c>
      <c r="H27" s="2" t="str">
        <f t="shared" si="1"/>
        <v>CR</v>
      </c>
    </row>
    <row r="28" spans="1:8" ht="21" customHeight="1" x14ac:dyDescent="0.25">
      <c r="A28" s="9">
        <v>44182</v>
      </c>
      <c r="B28" s="2" t="s">
        <v>10</v>
      </c>
      <c r="C28" s="2" t="s">
        <v>189</v>
      </c>
      <c r="D28" s="2" t="s">
        <v>146</v>
      </c>
      <c r="E28" s="3">
        <v>0</v>
      </c>
      <c r="F28" s="3">
        <v>2350</v>
      </c>
      <c r="G28" s="3">
        <f t="shared" si="0"/>
        <v>18100</v>
      </c>
      <c r="H28" s="2" t="str">
        <f t="shared" si="1"/>
        <v>CR</v>
      </c>
    </row>
    <row r="29" spans="1:8" ht="21" customHeight="1" x14ac:dyDescent="0.25">
      <c r="A29" s="9">
        <v>44186</v>
      </c>
      <c r="B29" s="2" t="s">
        <v>8</v>
      </c>
      <c r="C29" s="12" t="s">
        <v>133</v>
      </c>
      <c r="D29" s="2" t="s">
        <v>155</v>
      </c>
      <c r="E29" s="3">
        <v>18100</v>
      </c>
      <c r="F29" s="3">
        <v>0</v>
      </c>
      <c r="G29" s="3">
        <f t="shared" si="0"/>
        <v>0</v>
      </c>
      <c r="H29" s="2" t="str">
        <f t="shared" si="1"/>
        <v>NIL</v>
      </c>
    </row>
    <row r="30" spans="1:8" ht="21" customHeight="1" x14ac:dyDescent="0.25">
      <c r="A30" s="9">
        <v>44186</v>
      </c>
      <c r="B30" s="2" t="s">
        <v>10</v>
      </c>
      <c r="C30" s="2" t="s">
        <v>190</v>
      </c>
      <c r="D30" s="2" t="s">
        <v>191</v>
      </c>
      <c r="E30" s="3">
        <v>0</v>
      </c>
      <c r="F30" s="3">
        <v>2300</v>
      </c>
      <c r="G30" s="3">
        <f t="shared" si="0"/>
        <v>2300</v>
      </c>
      <c r="H30" s="2" t="str">
        <f t="shared" si="1"/>
        <v>CR</v>
      </c>
    </row>
    <row r="31" spans="1:8" ht="21" customHeight="1" x14ac:dyDescent="0.25">
      <c r="A31" s="9">
        <v>44189</v>
      </c>
      <c r="B31" s="2" t="s">
        <v>8</v>
      </c>
      <c r="C31" s="2" t="s">
        <v>133</v>
      </c>
      <c r="D31" s="2" t="s">
        <v>155</v>
      </c>
      <c r="E31" s="3">
        <v>2300</v>
      </c>
      <c r="F31" s="3">
        <v>0</v>
      </c>
      <c r="G31" s="3">
        <f t="shared" si="0"/>
        <v>0</v>
      </c>
      <c r="H31" s="2" t="str">
        <f t="shared" si="1"/>
        <v>NIL</v>
      </c>
    </row>
    <row r="32" spans="1:8" ht="21" customHeight="1" x14ac:dyDescent="0.25">
      <c r="A32" s="9">
        <v>44193</v>
      </c>
      <c r="B32" s="2" t="s">
        <v>10</v>
      </c>
      <c r="C32" s="2" t="s">
        <v>194</v>
      </c>
      <c r="D32" s="2" t="s">
        <v>195</v>
      </c>
      <c r="E32" s="3">
        <v>0</v>
      </c>
      <c r="F32" s="21">
        <v>12550</v>
      </c>
      <c r="G32" s="3">
        <f t="shared" si="0"/>
        <v>12550</v>
      </c>
      <c r="H32" s="2" t="str">
        <f t="shared" si="1"/>
        <v>CR</v>
      </c>
    </row>
    <row r="33" spans="1:8" ht="21" customHeight="1" x14ac:dyDescent="0.25">
      <c r="A33" s="9">
        <v>44194</v>
      </c>
      <c r="B33" s="2" t="s">
        <v>8</v>
      </c>
      <c r="C33" s="2" t="s">
        <v>196</v>
      </c>
      <c r="D33" s="2" t="s">
        <v>155</v>
      </c>
      <c r="E33" s="3">
        <v>12550</v>
      </c>
      <c r="F33" s="3"/>
      <c r="G33" s="3">
        <f t="shared" si="0"/>
        <v>0</v>
      </c>
      <c r="H33" s="2" t="str">
        <f t="shared" si="1"/>
        <v>NIL</v>
      </c>
    </row>
    <row r="34" spans="1:8" ht="21" customHeight="1" x14ac:dyDescent="0.25">
      <c r="A34" s="9">
        <v>44197</v>
      </c>
      <c r="B34" s="2" t="s">
        <v>10</v>
      </c>
      <c r="C34" s="2" t="s">
        <v>197</v>
      </c>
      <c r="D34" s="2" t="s">
        <v>198</v>
      </c>
      <c r="E34" s="3">
        <v>0</v>
      </c>
      <c r="F34" s="21">
        <v>3600</v>
      </c>
      <c r="G34" s="3">
        <f t="shared" si="0"/>
        <v>3600</v>
      </c>
      <c r="H34" s="2" t="str">
        <f t="shared" si="1"/>
        <v>CR</v>
      </c>
    </row>
    <row r="35" spans="1:8" ht="21" customHeight="1" x14ac:dyDescent="0.25">
      <c r="A35" s="9">
        <v>43836</v>
      </c>
      <c r="B35" s="2" t="s">
        <v>8</v>
      </c>
      <c r="C35" s="2" t="s">
        <v>199</v>
      </c>
      <c r="D35" s="2" t="s">
        <v>155</v>
      </c>
      <c r="E35" s="3">
        <v>3600</v>
      </c>
      <c r="F35" s="3"/>
      <c r="G35" s="3">
        <f t="shared" si="0"/>
        <v>0</v>
      </c>
      <c r="H35" s="2" t="str">
        <f t="shared" si="1"/>
        <v>NIL</v>
      </c>
    </row>
    <row r="36" spans="1:8" ht="21" customHeight="1" x14ac:dyDescent="0.25">
      <c r="A36" s="10"/>
      <c r="B36" s="4"/>
      <c r="C36" s="4"/>
      <c r="D36" s="4" t="s">
        <v>9</v>
      </c>
      <c r="E36" s="5">
        <f>SUM(E6:E35)</f>
        <v>82750</v>
      </c>
      <c r="F36" s="5">
        <f>SUM(F6:F35)</f>
        <v>82750</v>
      </c>
      <c r="G36" s="5">
        <f>G5+F36-E36</f>
        <v>0</v>
      </c>
      <c r="H36" s="4" t="str">
        <f t="shared" si="1"/>
        <v>NIL</v>
      </c>
    </row>
  </sheetData>
  <mergeCells count="4">
    <mergeCell ref="A1:H1"/>
    <mergeCell ref="A2:H2"/>
    <mergeCell ref="A3:H3"/>
    <mergeCell ref="G4:H4"/>
  </mergeCells>
  <printOptions horizontalCentered="1"/>
  <pageMargins left="0.7" right="0.7" top="0.75" bottom="0.75" header="0.3" footer="0.3"/>
  <pageSetup paperSize="9" scale="8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36"/>
  <sheetViews>
    <sheetView zoomScaleNormal="100" workbookViewId="0">
      <pane ySplit="4" topLeftCell="A5" activePane="bottomLeft" state="frozen"/>
      <selection pane="bottomLeft" activeCell="D26" sqref="D26"/>
    </sheetView>
  </sheetViews>
  <sheetFormatPr defaultRowHeight="15" x14ac:dyDescent="0.25"/>
  <cols>
    <col min="1" max="1" width="12.140625" style="11" bestFit="1" customWidth="1"/>
    <col min="2" max="2" width="12" bestFit="1" customWidth="1"/>
    <col min="3" max="3" width="18" bestFit="1" customWidth="1"/>
    <col min="4" max="4" width="37.140625" bestFit="1" customWidth="1"/>
    <col min="5" max="7" width="9" style="1" bestFit="1" customWidth="1"/>
    <col min="8" max="8" width="3.28515625" bestFit="1" customWidth="1"/>
  </cols>
  <sheetData>
    <row r="1" spans="1:8" ht="15.75" x14ac:dyDescent="0.25">
      <c r="A1" s="100" t="s">
        <v>0</v>
      </c>
      <c r="B1" s="100"/>
      <c r="C1" s="100"/>
      <c r="D1" s="100"/>
      <c r="E1" s="100"/>
      <c r="F1" s="100"/>
      <c r="G1" s="100"/>
      <c r="H1" s="100"/>
    </row>
    <row r="2" spans="1:8" ht="15.75" x14ac:dyDescent="0.25">
      <c r="A2" s="100" t="s">
        <v>12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21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6" t="s">
        <v>5</v>
      </c>
      <c r="F4" s="16" t="s">
        <v>6</v>
      </c>
      <c r="G4" s="102" t="s">
        <v>7</v>
      </c>
      <c r="H4" s="102"/>
    </row>
    <row r="5" spans="1:8" ht="21" customHeight="1" x14ac:dyDescent="0.25">
      <c r="A5" s="9"/>
      <c r="B5" s="2"/>
      <c r="C5" s="2"/>
      <c r="D5" s="2" t="s">
        <v>79</v>
      </c>
      <c r="E5" s="3"/>
      <c r="F5" s="3"/>
      <c r="G5" s="3">
        <f>'AL AZIZ-LHR-4'!G36</f>
        <v>0</v>
      </c>
      <c r="H5" s="2"/>
    </row>
    <row r="6" spans="1:8" ht="21" customHeight="1" x14ac:dyDescent="0.25">
      <c r="A6" s="9">
        <v>44205</v>
      </c>
      <c r="B6" s="2" t="s">
        <v>10</v>
      </c>
      <c r="C6" s="2" t="s">
        <v>200</v>
      </c>
      <c r="D6" s="2" t="s">
        <v>201</v>
      </c>
      <c r="E6" s="13">
        <v>0</v>
      </c>
      <c r="F6" s="21">
        <v>5150</v>
      </c>
      <c r="G6" s="3">
        <f>G5+F6-E6</f>
        <v>5150</v>
      </c>
      <c r="H6" s="2" t="str">
        <f>IF(G6=0,"NIL",IF(G6&gt;0,"CR","DR"))</f>
        <v>CR</v>
      </c>
    </row>
    <row r="7" spans="1:8" ht="21" customHeight="1" x14ac:dyDescent="0.25">
      <c r="A7" s="9">
        <v>44208</v>
      </c>
      <c r="B7" s="2" t="s">
        <v>10</v>
      </c>
      <c r="C7" s="2" t="s">
        <v>202</v>
      </c>
      <c r="D7" s="2" t="s">
        <v>203</v>
      </c>
      <c r="E7" s="13">
        <v>0</v>
      </c>
      <c r="F7" s="21">
        <v>8050</v>
      </c>
      <c r="G7" s="3">
        <f t="shared" ref="G7:G35" si="0">G6+F7-E7</f>
        <v>13200</v>
      </c>
      <c r="H7" s="2" t="str">
        <f t="shared" ref="H7:H36" si="1">IF(G7=0,"NIL",IF(G7&gt;0,"CR","DR"))</f>
        <v>CR</v>
      </c>
    </row>
    <row r="8" spans="1:8" ht="21" customHeight="1" x14ac:dyDescent="0.25">
      <c r="A8" s="9">
        <v>44215</v>
      </c>
      <c r="B8" s="2" t="s">
        <v>8</v>
      </c>
      <c r="C8" s="2" t="s">
        <v>204</v>
      </c>
      <c r="D8" s="2" t="s">
        <v>11</v>
      </c>
      <c r="E8" s="13">
        <v>13200</v>
      </c>
      <c r="F8" s="13">
        <v>0</v>
      </c>
      <c r="G8" s="3">
        <f t="shared" si="0"/>
        <v>0</v>
      </c>
      <c r="H8" s="2" t="str">
        <f t="shared" si="1"/>
        <v>NIL</v>
      </c>
    </row>
    <row r="9" spans="1:8" ht="21" customHeight="1" x14ac:dyDescent="0.25">
      <c r="A9" s="9">
        <v>44217</v>
      </c>
      <c r="B9" s="2" t="s">
        <v>10</v>
      </c>
      <c r="C9" s="2" t="s">
        <v>205</v>
      </c>
      <c r="D9" s="2" t="s">
        <v>206</v>
      </c>
      <c r="E9" s="13">
        <v>0</v>
      </c>
      <c r="F9" s="21">
        <v>6550</v>
      </c>
      <c r="G9" s="3">
        <f t="shared" si="0"/>
        <v>6550</v>
      </c>
      <c r="H9" s="2" t="str">
        <f t="shared" si="1"/>
        <v>CR</v>
      </c>
    </row>
    <row r="10" spans="1:8" ht="21" customHeight="1" x14ac:dyDescent="0.25">
      <c r="A10" s="9">
        <v>44217</v>
      </c>
      <c r="B10" s="2" t="s">
        <v>33</v>
      </c>
      <c r="C10" s="12" t="s">
        <v>202</v>
      </c>
      <c r="D10" s="2" t="s">
        <v>207</v>
      </c>
      <c r="E10" s="13">
        <v>3500</v>
      </c>
      <c r="F10" s="13">
        <v>0</v>
      </c>
      <c r="G10" s="3">
        <f t="shared" si="0"/>
        <v>3050</v>
      </c>
      <c r="H10" s="2" t="str">
        <f t="shared" si="1"/>
        <v>CR</v>
      </c>
    </row>
    <row r="11" spans="1:8" ht="21" customHeight="1" x14ac:dyDescent="0.25">
      <c r="A11" s="9">
        <v>44221</v>
      </c>
      <c r="B11" s="2" t="s">
        <v>10</v>
      </c>
      <c r="C11" s="12" t="s">
        <v>208</v>
      </c>
      <c r="D11" s="2" t="s">
        <v>209</v>
      </c>
      <c r="E11" s="13">
        <v>0</v>
      </c>
      <c r="F11" s="21">
        <v>3050</v>
      </c>
      <c r="G11" s="3">
        <f t="shared" si="0"/>
        <v>6100</v>
      </c>
      <c r="H11" s="2" t="str">
        <f t="shared" si="1"/>
        <v>CR</v>
      </c>
    </row>
    <row r="12" spans="1:8" ht="21" customHeight="1" x14ac:dyDescent="0.25">
      <c r="A12" s="9">
        <v>44223</v>
      </c>
      <c r="B12" s="2" t="s">
        <v>33</v>
      </c>
      <c r="C12" s="12" t="s">
        <v>205</v>
      </c>
      <c r="D12" s="2" t="s">
        <v>210</v>
      </c>
      <c r="E12" s="13">
        <v>2900</v>
      </c>
      <c r="F12" s="13">
        <v>0</v>
      </c>
      <c r="G12" s="3">
        <f t="shared" si="0"/>
        <v>3200</v>
      </c>
      <c r="H12" s="2" t="str">
        <f t="shared" si="1"/>
        <v>CR</v>
      </c>
    </row>
    <row r="13" spans="1:8" ht="21" customHeight="1" x14ac:dyDescent="0.25">
      <c r="A13" s="9">
        <v>44184</v>
      </c>
      <c r="B13" s="2" t="s">
        <v>10</v>
      </c>
      <c r="C13" s="12" t="s">
        <v>211</v>
      </c>
      <c r="D13" s="2" t="s">
        <v>212</v>
      </c>
      <c r="E13" s="13">
        <v>0</v>
      </c>
      <c r="F13" s="21">
        <v>1300</v>
      </c>
      <c r="G13" s="3">
        <f t="shared" si="0"/>
        <v>4500</v>
      </c>
      <c r="H13" s="2" t="str">
        <f t="shared" si="1"/>
        <v>CR</v>
      </c>
    </row>
    <row r="14" spans="1:8" ht="21" customHeight="1" x14ac:dyDescent="0.25">
      <c r="A14" s="9">
        <v>44228</v>
      </c>
      <c r="B14" s="2" t="s">
        <v>10</v>
      </c>
      <c r="C14" s="12" t="s">
        <v>213</v>
      </c>
      <c r="D14" s="2" t="s">
        <v>198</v>
      </c>
      <c r="E14" s="13">
        <v>0</v>
      </c>
      <c r="F14" s="21">
        <v>3650</v>
      </c>
      <c r="G14" s="3">
        <f t="shared" si="0"/>
        <v>8150</v>
      </c>
      <c r="H14" s="2" t="str">
        <f t="shared" si="1"/>
        <v>CR</v>
      </c>
    </row>
    <row r="15" spans="1:8" ht="21" customHeight="1" x14ac:dyDescent="0.25">
      <c r="A15" s="9">
        <v>44231</v>
      </c>
      <c r="B15" s="2" t="s">
        <v>10</v>
      </c>
      <c r="C15" s="12" t="s">
        <v>214</v>
      </c>
      <c r="D15" s="2" t="s">
        <v>215</v>
      </c>
      <c r="E15" s="13">
        <v>0</v>
      </c>
      <c r="F15" s="21">
        <v>4600</v>
      </c>
      <c r="G15" s="3">
        <f t="shared" si="0"/>
        <v>12750</v>
      </c>
      <c r="H15" s="2" t="str">
        <f t="shared" si="1"/>
        <v>CR</v>
      </c>
    </row>
    <row r="16" spans="1:8" ht="21" customHeight="1" x14ac:dyDescent="0.25">
      <c r="A16" s="9">
        <v>44237</v>
      </c>
      <c r="B16" s="2" t="s">
        <v>8</v>
      </c>
      <c r="C16" s="2" t="s">
        <v>216</v>
      </c>
      <c r="D16" s="2" t="s">
        <v>11</v>
      </c>
      <c r="E16" s="13">
        <v>12750</v>
      </c>
      <c r="F16" s="13">
        <v>0</v>
      </c>
      <c r="G16" s="3">
        <f>G15+F16-E16</f>
        <v>0</v>
      </c>
      <c r="H16" s="2" t="str">
        <f t="shared" si="1"/>
        <v>NIL</v>
      </c>
    </row>
    <row r="17" spans="1:8" ht="21" customHeight="1" x14ac:dyDescent="0.25">
      <c r="A17" s="9">
        <v>44239</v>
      </c>
      <c r="B17" s="2" t="s">
        <v>10</v>
      </c>
      <c r="C17" s="2" t="s">
        <v>217</v>
      </c>
      <c r="D17" s="2" t="s">
        <v>218</v>
      </c>
      <c r="E17" s="13">
        <v>0</v>
      </c>
      <c r="F17" s="13">
        <v>2350</v>
      </c>
      <c r="G17" s="3">
        <f t="shared" si="0"/>
        <v>2350</v>
      </c>
      <c r="H17" s="2" t="str">
        <f t="shared" si="1"/>
        <v>CR</v>
      </c>
    </row>
    <row r="18" spans="1:8" ht="21" customHeight="1" x14ac:dyDescent="0.25">
      <c r="A18" s="9">
        <v>44243</v>
      </c>
      <c r="B18" s="2" t="s">
        <v>10</v>
      </c>
      <c r="C18" s="2" t="s">
        <v>219</v>
      </c>
      <c r="D18" s="2" t="s">
        <v>218</v>
      </c>
      <c r="E18" s="13">
        <v>0</v>
      </c>
      <c r="F18" s="21">
        <v>2350</v>
      </c>
      <c r="G18" s="3">
        <f t="shared" si="0"/>
        <v>4700</v>
      </c>
      <c r="H18" s="2" t="str">
        <f t="shared" si="1"/>
        <v>CR</v>
      </c>
    </row>
    <row r="19" spans="1:8" ht="21" customHeight="1" x14ac:dyDescent="0.25">
      <c r="A19" s="9">
        <v>44244</v>
      </c>
      <c r="B19" s="2" t="s">
        <v>33</v>
      </c>
      <c r="C19" s="12" t="s">
        <v>217</v>
      </c>
      <c r="D19" s="2" t="s">
        <v>220</v>
      </c>
      <c r="E19" s="13">
        <v>2350</v>
      </c>
      <c r="F19" s="13">
        <v>0</v>
      </c>
      <c r="G19" s="3">
        <f t="shared" si="0"/>
        <v>2350</v>
      </c>
      <c r="H19" s="2" t="str">
        <f t="shared" si="1"/>
        <v>CR</v>
      </c>
    </row>
    <row r="20" spans="1:8" ht="21" customHeight="1" x14ac:dyDescent="0.25">
      <c r="A20" s="9">
        <v>44244</v>
      </c>
      <c r="B20" s="2" t="s">
        <v>10</v>
      </c>
      <c r="C20" s="12" t="s">
        <v>221</v>
      </c>
      <c r="D20" s="2" t="s">
        <v>222</v>
      </c>
      <c r="E20" s="13">
        <v>0</v>
      </c>
      <c r="F20" s="21">
        <v>1600</v>
      </c>
      <c r="G20" s="3">
        <f t="shared" si="0"/>
        <v>3950</v>
      </c>
      <c r="H20" s="2" t="str">
        <f t="shared" si="1"/>
        <v>CR</v>
      </c>
    </row>
    <row r="21" spans="1:8" ht="21" customHeight="1" x14ac:dyDescent="0.25">
      <c r="A21" s="9">
        <v>44256</v>
      </c>
      <c r="B21" s="2" t="s">
        <v>10</v>
      </c>
      <c r="C21" s="12" t="s">
        <v>223</v>
      </c>
      <c r="D21" s="2" t="s">
        <v>224</v>
      </c>
      <c r="E21" s="13">
        <v>0</v>
      </c>
      <c r="F21" s="21">
        <v>3000</v>
      </c>
      <c r="G21" s="3">
        <f t="shared" si="0"/>
        <v>6950</v>
      </c>
      <c r="H21" s="2" t="str">
        <f t="shared" si="1"/>
        <v>CR</v>
      </c>
    </row>
    <row r="22" spans="1:8" ht="21" customHeight="1" x14ac:dyDescent="0.25">
      <c r="A22" s="9">
        <v>44260</v>
      </c>
      <c r="B22" s="2" t="s">
        <v>10</v>
      </c>
      <c r="C22" s="12" t="s">
        <v>225</v>
      </c>
      <c r="D22" s="2" t="s">
        <v>226</v>
      </c>
      <c r="E22" s="13">
        <v>0</v>
      </c>
      <c r="F22" s="21">
        <v>3600</v>
      </c>
      <c r="G22" s="3">
        <f t="shared" si="0"/>
        <v>10550</v>
      </c>
      <c r="H22" s="2" t="str">
        <f t="shared" si="1"/>
        <v>CR</v>
      </c>
    </row>
    <row r="23" spans="1:8" ht="21" customHeight="1" x14ac:dyDescent="0.25">
      <c r="A23" s="9">
        <v>43900</v>
      </c>
      <c r="B23" s="2" t="s">
        <v>8</v>
      </c>
      <c r="C23" s="2" t="s">
        <v>227</v>
      </c>
      <c r="D23" s="2" t="s">
        <v>11</v>
      </c>
      <c r="E23" s="13">
        <v>10550</v>
      </c>
      <c r="F23" s="13">
        <v>0</v>
      </c>
      <c r="G23" s="3">
        <f t="shared" si="0"/>
        <v>0</v>
      </c>
      <c r="H23" s="2" t="str">
        <f t="shared" si="1"/>
        <v>NIL</v>
      </c>
    </row>
    <row r="24" spans="1:8" ht="21" customHeight="1" x14ac:dyDescent="0.25">
      <c r="A24" s="9">
        <v>44270</v>
      </c>
      <c r="B24" s="2" t="s">
        <v>10</v>
      </c>
      <c r="C24" s="12" t="s">
        <v>228</v>
      </c>
      <c r="D24" s="2" t="s">
        <v>229</v>
      </c>
      <c r="E24" s="13">
        <v>0</v>
      </c>
      <c r="F24" s="21">
        <v>3100</v>
      </c>
      <c r="G24" s="3">
        <f t="shared" si="0"/>
        <v>3100</v>
      </c>
      <c r="H24" s="2" t="str">
        <f t="shared" si="1"/>
        <v>CR</v>
      </c>
    </row>
    <row r="25" spans="1:8" ht="21" customHeight="1" x14ac:dyDescent="0.25">
      <c r="A25" s="9">
        <v>44274</v>
      </c>
      <c r="B25" s="2" t="s">
        <v>8</v>
      </c>
      <c r="C25" s="2" t="s">
        <v>230</v>
      </c>
      <c r="D25" s="2" t="s">
        <v>11</v>
      </c>
      <c r="E25" s="13">
        <v>3100</v>
      </c>
      <c r="F25" s="13">
        <v>0</v>
      </c>
      <c r="G25" s="3">
        <f t="shared" si="0"/>
        <v>0</v>
      </c>
      <c r="H25" s="2" t="str">
        <f t="shared" si="1"/>
        <v>NIL</v>
      </c>
    </row>
    <row r="26" spans="1:8" ht="21" customHeight="1" x14ac:dyDescent="0.25">
      <c r="A26" s="9">
        <v>44279</v>
      </c>
      <c r="B26" s="2" t="s">
        <v>10</v>
      </c>
      <c r="C26" s="12" t="s">
        <v>231</v>
      </c>
      <c r="D26" s="2" t="s">
        <v>232</v>
      </c>
      <c r="E26" s="13">
        <v>0</v>
      </c>
      <c r="F26" s="21">
        <v>5800</v>
      </c>
      <c r="G26" s="3">
        <f t="shared" si="0"/>
        <v>5800</v>
      </c>
      <c r="H26" s="2" t="str">
        <f t="shared" si="1"/>
        <v>CR</v>
      </c>
    </row>
    <row r="27" spans="1:8" ht="21" customHeight="1" x14ac:dyDescent="0.25">
      <c r="A27" s="9">
        <v>44284</v>
      </c>
      <c r="B27" s="2" t="s">
        <v>8</v>
      </c>
      <c r="C27" s="2" t="s">
        <v>233</v>
      </c>
      <c r="D27" s="2" t="s">
        <v>11</v>
      </c>
      <c r="E27" s="13">
        <v>5800</v>
      </c>
      <c r="F27" s="13">
        <v>0</v>
      </c>
      <c r="G27" s="3">
        <f t="shared" si="0"/>
        <v>0</v>
      </c>
      <c r="H27" s="2" t="str">
        <f t="shared" si="1"/>
        <v>NIL</v>
      </c>
    </row>
    <row r="28" spans="1:8" ht="21" customHeight="1" x14ac:dyDescent="0.25">
      <c r="A28" s="9">
        <v>44285</v>
      </c>
      <c r="B28" s="2" t="s">
        <v>10</v>
      </c>
      <c r="C28" s="2" t="s">
        <v>234</v>
      </c>
      <c r="D28" s="2" t="s">
        <v>235</v>
      </c>
      <c r="E28" s="13">
        <v>0</v>
      </c>
      <c r="F28" s="13">
        <v>7750</v>
      </c>
      <c r="G28" s="3">
        <f t="shared" si="0"/>
        <v>7750</v>
      </c>
      <c r="H28" s="2" t="str">
        <f t="shared" si="1"/>
        <v>CR</v>
      </c>
    </row>
    <row r="29" spans="1:8" ht="21" customHeight="1" x14ac:dyDescent="0.25">
      <c r="A29" s="9">
        <v>44287</v>
      </c>
      <c r="B29" s="2" t="s">
        <v>10</v>
      </c>
      <c r="C29" s="2" t="s">
        <v>236</v>
      </c>
      <c r="D29" s="2" t="s">
        <v>237</v>
      </c>
      <c r="E29" s="13">
        <v>0</v>
      </c>
      <c r="F29" s="13">
        <v>10100</v>
      </c>
      <c r="G29" s="3">
        <f t="shared" si="0"/>
        <v>17850</v>
      </c>
      <c r="H29" s="2" t="str">
        <f t="shared" si="1"/>
        <v>CR</v>
      </c>
    </row>
    <row r="30" spans="1:8" ht="21" customHeight="1" x14ac:dyDescent="0.25">
      <c r="A30" s="9">
        <v>44287</v>
      </c>
      <c r="B30" s="2" t="s">
        <v>10</v>
      </c>
      <c r="C30" s="2" t="s">
        <v>238</v>
      </c>
      <c r="D30" s="2" t="s">
        <v>239</v>
      </c>
      <c r="E30" s="13">
        <v>0</v>
      </c>
      <c r="F30" s="13">
        <v>1800</v>
      </c>
      <c r="G30" s="3">
        <f t="shared" si="0"/>
        <v>19650</v>
      </c>
      <c r="H30" s="2" t="str">
        <f t="shared" si="1"/>
        <v>CR</v>
      </c>
    </row>
    <row r="31" spans="1:8" ht="21" customHeight="1" x14ac:dyDescent="0.25">
      <c r="A31" s="9">
        <v>44291</v>
      </c>
      <c r="B31" s="2" t="s">
        <v>10</v>
      </c>
      <c r="C31" s="2" t="s">
        <v>240</v>
      </c>
      <c r="D31" s="2" t="s">
        <v>241</v>
      </c>
      <c r="E31" s="13">
        <v>0</v>
      </c>
      <c r="F31" s="13">
        <v>1300</v>
      </c>
      <c r="G31" s="3">
        <f t="shared" si="0"/>
        <v>20950</v>
      </c>
      <c r="H31" s="2" t="str">
        <f t="shared" si="1"/>
        <v>CR</v>
      </c>
    </row>
    <row r="32" spans="1:8" ht="21" customHeight="1" x14ac:dyDescent="0.25">
      <c r="A32" s="9">
        <v>44292</v>
      </c>
      <c r="B32" s="2" t="s">
        <v>8</v>
      </c>
      <c r="C32" s="2" t="s">
        <v>242</v>
      </c>
      <c r="D32" s="2" t="s">
        <v>11</v>
      </c>
      <c r="E32" s="13">
        <v>21000</v>
      </c>
      <c r="F32" s="13"/>
      <c r="G32" s="3">
        <f t="shared" si="0"/>
        <v>-50</v>
      </c>
      <c r="H32" s="2" t="str">
        <f t="shared" si="1"/>
        <v>DR</v>
      </c>
    </row>
    <row r="33" spans="1:8" ht="21" customHeight="1" x14ac:dyDescent="0.25">
      <c r="A33" s="9">
        <v>44292</v>
      </c>
      <c r="B33" s="2" t="s">
        <v>10</v>
      </c>
      <c r="C33" s="2" t="s">
        <v>243</v>
      </c>
      <c r="D33" s="2" t="s">
        <v>244</v>
      </c>
      <c r="E33" s="13"/>
      <c r="F33" s="13">
        <v>1300</v>
      </c>
      <c r="G33" s="3">
        <f t="shared" si="0"/>
        <v>1250</v>
      </c>
      <c r="H33" s="2" t="str">
        <f t="shared" si="1"/>
        <v>CR</v>
      </c>
    </row>
    <row r="34" spans="1:8" ht="21" customHeight="1" x14ac:dyDescent="0.25">
      <c r="A34" s="9">
        <v>44294</v>
      </c>
      <c r="B34" s="2" t="s">
        <v>10</v>
      </c>
      <c r="C34" s="2" t="s">
        <v>245</v>
      </c>
      <c r="D34" s="2" t="s">
        <v>176</v>
      </c>
      <c r="E34" s="13"/>
      <c r="F34" s="13">
        <v>3150</v>
      </c>
      <c r="G34" s="3">
        <f t="shared" si="0"/>
        <v>4400</v>
      </c>
      <c r="H34" s="2" t="str">
        <f t="shared" si="1"/>
        <v>CR</v>
      </c>
    </row>
    <row r="35" spans="1:8" ht="21" customHeight="1" x14ac:dyDescent="0.25">
      <c r="A35" s="9">
        <v>44306</v>
      </c>
      <c r="B35" s="2" t="s">
        <v>10</v>
      </c>
      <c r="C35" s="2" t="s">
        <v>246</v>
      </c>
      <c r="D35" s="2" t="s">
        <v>247</v>
      </c>
      <c r="E35" s="13"/>
      <c r="F35" s="13">
        <v>1300</v>
      </c>
      <c r="G35" s="3">
        <f t="shared" si="0"/>
        <v>5700</v>
      </c>
      <c r="H35" s="2" t="str">
        <f t="shared" si="1"/>
        <v>CR</v>
      </c>
    </row>
    <row r="36" spans="1:8" ht="21" customHeight="1" x14ac:dyDescent="0.25">
      <c r="A36" s="10"/>
      <c r="B36" s="4"/>
      <c r="C36" s="4"/>
      <c r="D36" s="4" t="s">
        <v>9</v>
      </c>
      <c r="E36" s="5">
        <f>SUM(E6:E35)</f>
        <v>75150</v>
      </c>
      <c r="F36" s="5">
        <f>SUM(F6:F35)</f>
        <v>80850</v>
      </c>
      <c r="G36" s="5">
        <f>G5+F36-E36</f>
        <v>5700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printOptions horizontalCentered="1"/>
  <pageMargins left="0.7" right="0.7" top="0.75" bottom="0.75" header="0.3" footer="0.3"/>
  <pageSetup paperSize="9" scale="8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36"/>
  <sheetViews>
    <sheetView zoomScaleNormal="100" workbookViewId="0">
      <pane ySplit="4" topLeftCell="A26" activePane="bottomLeft" state="frozen"/>
      <selection pane="bottomLeft" activeCell="C35" sqref="C35"/>
    </sheetView>
  </sheetViews>
  <sheetFormatPr defaultRowHeight="15" x14ac:dyDescent="0.25"/>
  <cols>
    <col min="1" max="1" width="12.140625" style="11" bestFit="1" customWidth="1"/>
    <col min="2" max="2" width="12" bestFit="1" customWidth="1"/>
    <col min="3" max="3" width="19.5703125" bestFit="1" customWidth="1"/>
    <col min="4" max="4" width="39.140625" customWidth="1"/>
    <col min="5" max="7" width="9" style="1" bestFit="1" customWidth="1"/>
    <col min="8" max="8" width="3.28515625" bestFit="1" customWidth="1"/>
  </cols>
  <sheetData>
    <row r="1" spans="1:8" ht="15.75" x14ac:dyDescent="0.25">
      <c r="A1" s="100" t="s">
        <v>0</v>
      </c>
      <c r="B1" s="100"/>
      <c r="C1" s="100"/>
      <c r="D1" s="100"/>
      <c r="E1" s="100"/>
      <c r="F1" s="100"/>
      <c r="G1" s="100"/>
      <c r="H1" s="100"/>
    </row>
    <row r="2" spans="1:8" ht="15.75" x14ac:dyDescent="0.25">
      <c r="A2" s="100" t="s">
        <v>12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21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6" t="s">
        <v>5</v>
      </c>
      <c r="F4" s="16" t="s">
        <v>6</v>
      </c>
      <c r="G4" s="102" t="s">
        <v>7</v>
      </c>
      <c r="H4" s="102"/>
    </row>
    <row r="5" spans="1:8" ht="21" customHeight="1" x14ac:dyDescent="0.25">
      <c r="A5" s="9"/>
      <c r="B5" s="2"/>
      <c r="C5" s="2"/>
      <c r="D5" s="2" t="s">
        <v>79</v>
      </c>
      <c r="E5" s="3"/>
      <c r="F5" s="3"/>
      <c r="G5" s="3">
        <f>'AL AZIZ-LHR-5'!G36</f>
        <v>5700</v>
      </c>
      <c r="H5" s="2"/>
    </row>
    <row r="6" spans="1:8" ht="21" customHeight="1" x14ac:dyDescent="0.25">
      <c r="A6" s="9">
        <v>44307</v>
      </c>
      <c r="B6" s="2" t="s">
        <v>10</v>
      </c>
      <c r="C6" s="2" t="s">
        <v>248</v>
      </c>
      <c r="D6" s="2" t="s">
        <v>249</v>
      </c>
      <c r="E6" s="13"/>
      <c r="F6" s="13">
        <v>700</v>
      </c>
      <c r="G6" s="3">
        <f>G5+F6-E6</f>
        <v>6400</v>
      </c>
      <c r="H6" s="2" t="str">
        <f>IF(G6=0,"NIL",IF(G6&gt;0,"CR","DR"))</f>
        <v>CR</v>
      </c>
    </row>
    <row r="7" spans="1:8" ht="21" customHeight="1" x14ac:dyDescent="0.25">
      <c r="A7" s="9">
        <v>44302</v>
      </c>
      <c r="B7" s="2" t="s">
        <v>10</v>
      </c>
      <c r="C7" s="2" t="s">
        <v>250</v>
      </c>
      <c r="D7" s="2" t="s">
        <v>251</v>
      </c>
      <c r="E7" s="13"/>
      <c r="F7" s="13">
        <v>2950</v>
      </c>
      <c r="G7" s="3">
        <f t="shared" ref="G7:G35" si="0">G6+F7-E7</f>
        <v>9350</v>
      </c>
      <c r="H7" s="2" t="str">
        <f t="shared" ref="H7:H36" si="1">IF(G7=0,"NIL",IF(G7&gt;0,"CR","DR"))</f>
        <v>CR</v>
      </c>
    </row>
    <row r="8" spans="1:8" ht="21" customHeight="1" x14ac:dyDescent="0.25">
      <c r="A8" s="9">
        <v>44309</v>
      </c>
      <c r="B8" s="2" t="s">
        <v>8</v>
      </c>
      <c r="C8" s="26" t="s">
        <v>252</v>
      </c>
      <c r="D8" s="2" t="s">
        <v>11</v>
      </c>
      <c r="E8" s="13">
        <v>9350</v>
      </c>
      <c r="F8" s="13"/>
      <c r="G8" s="3">
        <f t="shared" si="0"/>
        <v>0</v>
      </c>
      <c r="H8" s="2" t="str">
        <f t="shared" si="1"/>
        <v>NIL</v>
      </c>
    </row>
    <row r="9" spans="1:8" ht="21" customHeight="1" x14ac:dyDescent="0.25">
      <c r="A9" s="9">
        <v>44313</v>
      </c>
      <c r="B9" s="2" t="s">
        <v>10</v>
      </c>
      <c r="C9" s="2" t="s">
        <v>253</v>
      </c>
      <c r="D9" s="2" t="s">
        <v>254</v>
      </c>
      <c r="E9" s="13">
        <v>0</v>
      </c>
      <c r="F9" s="13">
        <v>2950</v>
      </c>
      <c r="G9" s="3">
        <f t="shared" si="0"/>
        <v>2950</v>
      </c>
      <c r="H9" s="2" t="str">
        <f t="shared" si="1"/>
        <v>CR</v>
      </c>
    </row>
    <row r="10" spans="1:8" ht="21" customHeight="1" x14ac:dyDescent="0.25">
      <c r="A10" s="9">
        <v>44314</v>
      </c>
      <c r="B10" s="2" t="s">
        <v>10</v>
      </c>
      <c r="C10" s="2" t="s">
        <v>255</v>
      </c>
      <c r="D10" s="2" t="s">
        <v>254</v>
      </c>
      <c r="E10" s="13">
        <v>0</v>
      </c>
      <c r="F10" s="13">
        <v>2800</v>
      </c>
      <c r="G10" s="3">
        <f t="shared" si="0"/>
        <v>5750</v>
      </c>
      <c r="H10" s="2" t="str">
        <f t="shared" si="1"/>
        <v>CR</v>
      </c>
    </row>
    <row r="11" spans="1:8" ht="21" customHeight="1" x14ac:dyDescent="0.25">
      <c r="A11" s="9">
        <v>44321</v>
      </c>
      <c r="B11" s="2" t="s">
        <v>8</v>
      </c>
      <c r="C11" s="12" t="s">
        <v>256</v>
      </c>
      <c r="D11" s="2" t="s">
        <v>11</v>
      </c>
      <c r="E11" s="13">
        <v>5750</v>
      </c>
      <c r="F11" s="13">
        <v>0</v>
      </c>
      <c r="G11" s="3">
        <f t="shared" si="0"/>
        <v>0</v>
      </c>
      <c r="H11" s="2" t="str">
        <f t="shared" si="1"/>
        <v>NIL</v>
      </c>
    </row>
    <row r="12" spans="1:8" ht="21" customHeight="1" x14ac:dyDescent="0.25">
      <c r="A12" s="9">
        <v>44336</v>
      </c>
      <c r="B12" s="2" t="s">
        <v>10</v>
      </c>
      <c r="C12" s="12" t="s">
        <v>257</v>
      </c>
      <c r="D12" s="2" t="s">
        <v>258</v>
      </c>
      <c r="E12" s="13">
        <v>0</v>
      </c>
      <c r="F12" s="13">
        <v>3000</v>
      </c>
      <c r="G12" s="3">
        <f t="shared" si="0"/>
        <v>3000</v>
      </c>
      <c r="H12" s="2" t="str">
        <f t="shared" si="1"/>
        <v>CR</v>
      </c>
    </row>
    <row r="13" spans="1:8" ht="21" customHeight="1" x14ac:dyDescent="0.25">
      <c r="A13" s="9">
        <v>44341</v>
      </c>
      <c r="B13" s="2" t="s">
        <v>10</v>
      </c>
      <c r="C13" s="12" t="s">
        <v>259</v>
      </c>
      <c r="D13" s="2" t="s">
        <v>260</v>
      </c>
      <c r="E13" s="13">
        <v>0</v>
      </c>
      <c r="F13" s="13">
        <v>2750</v>
      </c>
      <c r="G13" s="3">
        <f t="shared" si="0"/>
        <v>5750</v>
      </c>
      <c r="H13" s="2" t="str">
        <f t="shared" si="1"/>
        <v>CR</v>
      </c>
    </row>
    <row r="14" spans="1:8" ht="21" customHeight="1" x14ac:dyDescent="0.25">
      <c r="A14" s="9">
        <v>44341</v>
      </c>
      <c r="B14" s="2" t="s">
        <v>10</v>
      </c>
      <c r="C14" s="12" t="s">
        <v>261</v>
      </c>
      <c r="D14" s="2" t="s">
        <v>262</v>
      </c>
      <c r="E14" s="13">
        <v>0</v>
      </c>
      <c r="F14" s="13">
        <v>2750</v>
      </c>
      <c r="G14" s="3">
        <f t="shared" si="0"/>
        <v>8500</v>
      </c>
      <c r="H14" s="2" t="str">
        <f t="shared" si="1"/>
        <v>CR</v>
      </c>
    </row>
    <row r="15" spans="1:8" ht="21" customHeight="1" x14ac:dyDescent="0.25">
      <c r="A15" s="9">
        <v>44341</v>
      </c>
      <c r="B15" s="2" t="s">
        <v>10</v>
      </c>
      <c r="C15" s="12" t="s">
        <v>264</v>
      </c>
      <c r="D15" s="2" t="s">
        <v>265</v>
      </c>
      <c r="E15" s="13">
        <v>0</v>
      </c>
      <c r="F15" s="13">
        <v>4150</v>
      </c>
      <c r="G15" s="3">
        <f t="shared" si="0"/>
        <v>12650</v>
      </c>
      <c r="H15" s="2" t="str">
        <f t="shared" si="1"/>
        <v>CR</v>
      </c>
    </row>
    <row r="16" spans="1:8" ht="21" customHeight="1" x14ac:dyDescent="0.25">
      <c r="A16" s="9">
        <v>44343</v>
      </c>
      <c r="B16" s="2" t="s">
        <v>10</v>
      </c>
      <c r="C16" s="2" t="s">
        <v>266</v>
      </c>
      <c r="D16" s="2" t="s">
        <v>267</v>
      </c>
      <c r="E16" s="13">
        <v>0</v>
      </c>
      <c r="F16" s="13">
        <v>1600</v>
      </c>
      <c r="G16" s="3">
        <f>G15+F16-E16</f>
        <v>14250</v>
      </c>
      <c r="H16" s="2" t="str">
        <f t="shared" si="1"/>
        <v>CR</v>
      </c>
    </row>
    <row r="17" spans="1:8" ht="21" customHeight="1" x14ac:dyDescent="0.25">
      <c r="A17" s="9">
        <v>44347</v>
      </c>
      <c r="B17" s="2" t="s">
        <v>8</v>
      </c>
      <c r="C17" s="2" t="s">
        <v>271</v>
      </c>
      <c r="D17" s="2" t="s">
        <v>272</v>
      </c>
      <c r="E17" s="13">
        <v>0</v>
      </c>
      <c r="F17" s="13">
        <v>6750</v>
      </c>
      <c r="G17" s="3">
        <f t="shared" si="0"/>
        <v>21000</v>
      </c>
      <c r="H17" s="2" t="str">
        <f t="shared" si="1"/>
        <v>CR</v>
      </c>
    </row>
    <row r="18" spans="1:8" ht="21" customHeight="1" x14ac:dyDescent="0.25">
      <c r="A18" s="9">
        <v>44347</v>
      </c>
      <c r="B18" s="2" t="s">
        <v>8</v>
      </c>
      <c r="C18" s="2" t="s">
        <v>268</v>
      </c>
      <c r="D18" s="2" t="s">
        <v>11</v>
      </c>
      <c r="E18" s="13">
        <v>12650</v>
      </c>
      <c r="F18" s="13">
        <v>0</v>
      </c>
      <c r="G18" s="3">
        <f t="shared" si="0"/>
        <v>8350</v>
      </c>
      <c r="H18" s="2" t="str">
        <f t="shared" si="1"/>
        <v>CR</v>
      </c>
    </row>
    <row r="19" spans="1:8" ht="21" customHeight="1" x14ac:dyDescent="0.25">
      <c r="A19" s="9">
        <v>44348</v>
      </c>
      <c r="B19" s="2" t="s">
        <v>33</v>
      </c>
      <c r="C19" s="2" t="s">
        <v>269</v>
      </c>
      <c r="D19" s="2" t="s">
        <v>270</v>
      </c>
      <c r="E19" s="13">
        <v>1500</v>
      </c>
      <c r="F19" s="13">
        <v>0</v>
      </c>
      <c r="G19" s="3">
        <f t="shared" si="0"/>
        <v>6850</v>
      </c>
      <c r="H19" s="2" t="str">
        <f t="shared" si="1"/>
        <v>CR</v>
      </c>
    </row>
    <row r="20" spans="1:8" ht="21" customHeight="1" x14ac:dyDescent="0.25">
      <c r="A20" s="9">
        <v>44348</v>
      </c>
      <c r="B20" s="2" t="s">
        <v>33</v>
      </c>
      <c r="C20" s="12" t="s">
        <v>273</v>
      </c>
      <c r="D20" s="2" t="s">
        <v>274</v>
      </c>
      <c r="E20" s="13">
        <v>4150</v>
      </c>
      <c r="F20" s="13">
        <v>0</v>
      </c>
      <c r="G20" s="3">
        <f t="shared" si="0"/>
        <v>2700</v>
      </c>
      <c r="H20" s="2" t="str">
        <f t="shared" si="1"/>
        <v>CR</v>
      </c>
    </row>
    <row r="21" spans="1:8" ht="21" customHeight="1" x14ac:dyDescent="0.25">
      <c r="A21" s="9">
        <v>44350</v>
      </c>
      <c r="B21" s="2" t="s">
        <v>10</v>
      </c>
      <c r="C21" s="12" t="s">
        <v>275</v>
      </c>
      <c r="D21" s="2" t="s">
        <v>276</v>
      </c>
      <c r="E21" s="13">
        <v>0</v>
      </c>
      <c r="F21" s="13">
        <v>2750</v>
      </c>
      <c r="G21" s="3">
        <f t="shared" si="0"/>
        <v>5450</v>
      </c>
      <c r="H21" s="2" t="str">
        <f t="shared" si="1"/>
        <v>CR</v>
      </c>
    </row>
    <row r="22" spans="1:8" ht="21" customHeight="1" x14ac:dyDescent="0.25">
      <c r="A22" s="9">
        <v>44354</v>
      </c>
      <c r="B22" s="2" t="s">
        <v>8</v>
      </c>
      <c r="C22" s="12" t="s">
        <v>277</v>
      </c>
      <c r="D22" s="2" t="s">
        <v>11</v>
      </c>
      <c r="E22" s="13">
        <v>5450</v>
      </c>
      <c r="F22" s="13"/>
      <c r="G22" s="3">
        <f t="shared" si="0"/>
        <v>0</v>
      </c>
      <c r="H22" s="2" t="str">
        <f t="shared" si="1"/>
        <v>NIL</v>
      </c>
    </row>
    <row r="23" spans="1:8" ht="21" customHeight="1" x14ac:dyDescent="0.25">
      <c r="A23" s="9">
        <v>44357</v>
      </c>
      <c r="B23" s="2" t="s">
        <v>10</v>
      </c>
      <c r="C23" s="2" t="s">
        <v>278</v>
      </c>
      <c r="D23" s="2" t="s">
        <v>279</v>
      </c>
      <c r="E23" s="13">
        <v>0</v>
      </c>
      <c r="F23" s="13">
        <v>1200</v>
      </c>
      <c r="G23" s="3">
        <f t="shared" si="0"/>
        <v>1200</v>
      </c>
      <c r="H23" s="2" t="str">
        <f t="shared" si="1"/>
        <v>CR</v>
      </c>
    </row>
    <row r="24" spans="1:8" ht="21" customHeight="1" x14ac:dyDescent="0.25">
      <c r="A24" s="9">
        <v>44362</v>
      </c>
      <c r="B24" s="2" t="s">
        <v>10</v>
      </c>
      <c r="C24" s="12" t="s">
        <v>280</v>
      </c>
      <c r="D24" s="2" t="s">
        <v>281</v>
      </c>
      <c r="E24" s="13"/>
      <c r="F24" s="13">
        <v>7750</v>
      </c>
      <c r="G24" s="3">
        <f t="shared" si="0"/>
        <v>8950</v>
      </c>
      <c r="H24" s="2" t="str">
        <f t="shared" si="1"/>
        <v>CR</v>
      </c>
    </row>
    <row r="25" spans="1:8" ht="21" customHeight="1" x14ac:dyDescent="0.25">
      <c r="A25" s="9">
        <v>44363</v>
      </c>
      <c r="B25" s="2" t="s">
        <v>8</v>
      </c>
      <c r="C25" s="2" t="s">
        <v>282</v>
      </c>
      <c r="D25" s="2" t="s">
        <v>11</v>
      </c>
      <c r="E25" s="13">
        <v>8950</v>
      </c>
      <c r="F25" s="13">
        <v>0</v>
      </c>
      <c r="G25" s="3">
        <f t="shared" si="0"/>
        <v>0</v>
      </c>
      <c r="H25" s="2" t="str">
        <f t="shared" si="1"/>
        <v>NIL</v>
      </c>
    </row>
    <row r="26" spans="1:8" ht="21" customHeight="1" x14ac:dyDescent="0.25">
      <c r="A26" s="9">
        <v>44364</v>
      </c>
      <c r="B26" s="2" t="s">
        <v>33</v>
      </c>
      <c r="C26" s="12" t="s">
        <v>283</v>
      </c>
      <c r="D26" s="2" t="s">
        <v>284</v>
      </c>
      <c r="E26" s="13">
        <v>1100</v>
      </c>
      <c r="F26" s="13">
        <v>0</v>
      </c>
      <c r="G26" s="3">
        <f t="shared" si="0"/>
        <v>-1100</v>
      </c>
      <c r="H26" s="2" t="str">
        <f t="shared" si="1"/>
        <v>DR</v>
      </c>
    </row>
    <row r="27" spans="1:8" ht="21" customHeight="1" x14ac:dyDescent="0.25">
      <c r="A27" s="9">
        <v>44364</v>
      </c>
      <c r="B27" s="2" t="s">
        <v>33</v>
      </c>
      <c r="C27" s="2" t="s">
        <v>285</v>
      </c>
      <c r="D27" s="2" t="s">
        <v>286</v>
      </c>
      <c r="E27" s="13">
        <v>5000</v>
      </c>
      <c r="F27" s="13">
        <v>0</v>
      </c>
      <c r="G27" s="3">
        <f t="shared" si="0"/>
        <v>-6100</v>
      </c>
      <c r="H27" s="2" t="str">
        <f t="shared" si="1"/>
        <v>DR</v>
      </c>
    </row>
    <row r="28" spans="1:8" ht="21" customHeight="1" x14ac:dyDescent="0.25">
      <c r="A28" s="9">
        <v>44383</v>
      </c>
      <c r="B28" s="2" t="s">
        <v>10</v>
      </c>
      <c r="C28" s="2" t="s">
        <v>287</v>
      </c>
      <c r="D28" s="2" t="s">
        <v>254</v>
      </c>
      <c r="E28" s="13">
        <v>0</v>
      </c>
      <c r="F28" s="13">
        <v>2700</v>
      </c>
      <c r="G28" s="3">
        <f t="shared" si="0"/>
        <v>-3400</v>
      </c>
      <c r="H28" s="2" t="str">
        <f t="shared" si="1"/>
        <v>DR</v>
      </c>
    </row>
    <row r="29" spans="1:8" ht="21" customHeight="1" x14ac:dyDescent="0.25">
      <c r="A29" s="9">
        <v>44383</v>
      </c>
      <c r="B29" s="2" t="s">
        <v>10</v>
      </c>
      <c r="C29" s="2" t="s">
        <v>288</v>
      </c>
      <c r="D29" s="2" t="s">
        <v>289</v>
      </c>
      <c r="E29" s="13">
        <v>0</v>
      </c>
      <c r="F29" s="13">
        <f>12450</f>
        <v>12450</v>
      </c>
      <c r="G29" s="3">
        <f t="shared" si="0"/>
        <v>9050</v>
      </c>
      <c r="H29" s="2" t="str">
        <f t="shared" si="1"/>
        <v>CR</v>
      </c>
    </row>
    <row r="30" spans="1:8" ht="21" customHeight="1" x14ac:dyDescent="0.25">
      <c r="A30" s="9">
        <v>44393</v>
      </c>
      <c r="B30" s="2" t="s">
        <v>8</v>
      </c>
      <c r="C30" s="2" t="s">
        <v>290</v>
      </c>
      <c r="D30" s="2" t="s">
        <v>11</v>
      </c>
      <c r="E30" s="13">
        <v>9050</v>
      </c>
      <c r="F30" s="13"/>
      <c r="G30" s="3">
        <f t="shared" si="0"/>
        <v>0</v>
      </c>
      <c r="H30" s="2" t="str">
        <f t="shared" si="1"/>
        <v>NIL</v>
      </c>
    </row>
    <row r="31" spans="1:8" ht="21" customHeight="1" x14ac:dyDescent="0.25">
      <c r="A31" s="9">
        <v>44396</v>
      </c>
      <c r="B31" s="2" t="s">
        <v>10</v>
      </c>
      <c r="C31" s="2" t="s">
        <v>291</v>
      </c>
      <c r="D31" s="2" t="s">
        <v>292</v>
      </c>
      <c r="E31" s="13">
        <v>0</v>
      </c>
      <c r="F31" s="13">
        <f>3800</f>
        <v>3800</v>
      </c>
      <c r="G31" s="3">
        <f t="shared" si="0"/>
        <v>3800</v>
      </c>
      <c r="H31" s="2" t="str">
        <f t="shared" si="1"/>
        <v>CR</v>
      </c>
    </row>
    <row r="32" spans="1:8" ht="21" customHeight="1" x14ac:dyDescent="0.25">
      <c r="A32" s="9">
        <v>44407</v>
      </c>
      <c r="B32" s="2" t="s">
        <v>8</v>
      </c>
      <c r="C32" s="2" t="s">
        <v>293</v>
      </c>
      <c r="D32" s="2" t="s">
        <v>11</v>
      </c>
      <c r="E32" s="13">
        <v>3800</v>
      </c>
      <c r="F32" s="13"/>
      <c r="G32" s="3">
        <f t="shared" si="0"/>
        <v>0</v>
      </c>
      <c r="H32" s="2" t="str">
        <f t="shared" si="1"/>
        <v>NIL</v>
      </c>
    </row>
    <row r="33" spans="1:8" ht="21" customHeight="1" x14ac:dyDescent="0.25">
      <c r="A33" s="9">
        <v>44410</v>
      </c>
      <c r="B33" s="2" t="s">
        <v>10</v>
      </c>
      <c r="C33" s="2" t="s">
        <v>294</v>
      </c>
      <c r="D33" s="2" t="s">
        <v>295</v>
      </c>
      <c r="E33" s="13">
        <v>0</v>
      </c>
      <c r="F33" s="13">
        <v>2500</v>
      </c>
      <c r="G33" s="3">
        <f t="shared" si="0"/>
        <v>2500</v>
      </c>
      <c r="H33" s="2" t="str">
        <f t="shared" si="1"/>
        <v>CR</v>
      </c>
    </row>
    <row r="34" spans="1:8" ht="21" customHeight="1" x14ac:dyDescent="0.25">
      <c r="A34" s="9">
        <v>44413</v>
      </c>
      <c r="B34" s="2" t="s">
        <v>8</v>
      </c>
      <c r="C34" s="2" t="s">
        <v>296</v>
      </c>
      <c r="D34" s="2" t="s">
        <v>11</v>
      </c>
      <c r="E34" s="13">
        <v>2500</v>
      </c>
      <c r="F34" s="13"/>
      <c r="G34" s="3">
        <f t="shared" si="0"/>
        <v>0</v>
      </c>
      <c r="H34" s="2" t="str">
        <f t="shared" si="1"/>
        <v>NIL</v>
      </c>
    </row>
    <row r="35" spans="1:8" ht="21" customHeight="1" x14ac:dyDescent="0.25">
      <c r="A35" s="9">
        <v>44435</v>
      </c>
      <c r="B35" s="2" t="s">
        <v>10</v>
      </c>
      <c r="C35" s="2" t="s">
        <v>297</v>
      </c>
      <c r="D35" s="2" t="s">
        <v>298</v>
      </c>
      <c r="E35" s="13">
        <v>0</v>
      </c>
      <c r="F35" s="13">
        <v>5550</v>
      </c>
      <c r="G35" s="3">
        <f t="shared" si="0"/>
        <v>5550</v>
      </c>
      <c r="H35" s="2" t="str">
        <f t="shared" si="1"/>
        <v>CR</v>
      </c>
    </row>
    <row r="36" spans="1:8" ht="21" customHeight="1" x14ac:dyDescent="0.25">
      <c r="A36" s="10"/>
      <c r="B36" s="4"/>
      <c r="C36" s="4"/>
      <c r="D36" s="4" t="s">
        <v>9</v>
      </c>
      <c r="E36" s="5">
        <f>SUM(E6:E35)</f>
        <v>69250</v>
      </c>
      <c r="F36" s="5">
        <f>SUM(F6:F35)</f>
        <v>69100</v>
      </c>
      <c r="G36" s="5">
        <f>G5+F36-E36</f>
        <v>5550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printOptions horizontalCentered="1"/>
  <pageMargins left="0.7" right="0.7" top="0.75" bottom="0.75" header="0.3" footer="0.3"/>
  <pageSetup paperSize="9" scale="8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36"/>
  <sheetViews>
    <sheetView zoomScaleNormal="100" workbookViewId="0">
      <pane ySplit="4" topLeftCell="A5" activePane="bottomLeft" state="frozen"/>
      <selection pane="bottomLeft" activeCell="D15" sqref="D15"/>
    </sheetView>
  </sheetViews>
  <sheetFormatPr defaultRowHeight="15" x14ac:dyDescent="0.25"/>
  <cols>
    <col min="1" max="1" width="12.140625" style="11" bestFit="1" customWidth="1"/>
    <col min="2" max="2" width="12" bestFit="1" customWidth="1"/>
    <col min="3" max="3" width="21" bestFit="1" customWidth="1"/>
    <col min="4" max="4" width="39.140625" customWidth="1"/>
    <col min="5" max="7" width="9" style="1" bestFit="1" customWidth="1"/>
    <col min="8" max="8" width="3.85546875" customWidth="1"/>
  </cols>
  <sheetData>
    <row r="1" spans="1:8" ht="15.75" x14ac:dyDescent="0.25">
      <c r="A1" s="100" t="s">
        <v>0</v>
      </c>
      <c r="B1" s="100"/>
      <c r="C1" s="100"/>
      <c r="D1" s="100"/>
      <c r="E1" s="100"/>
      <c r="F1" s="100"/>
      <c r="G1" s="100"/>
      <c r="H1" s="100"/>
    </row>
    <row r="2" spans="1:8" ht="15.75" x14ac:dyDescent="0.25">
      <c r="A2" s="100" t="s">
        <v>12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21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6" t="s">
        <v>5</v>
      </c>
      <c r="F4" s="16" t="s">
        <v>6</v>
      </c>
      <c r="G4" s="102" t="s">
        <v>7</v>
      </c>
      <c r="H4" s="102"/>
    </row>
    <row r="5" spans="1:8" ht="21" customHeight="1" x14ac:dyDescent="0.25">
      <c r="A5" s="9"/>
      <c r="B5" s="2"/>
      <c r="C5" s="2"/>
      <c r="D5" s="2" t="s">
        <v>79</v>
      </c>
      <c r="E5" s="3"/>
      <c r="F5" s="3"/>
      <c r="G5" s="3">
        <f>'AL AZIZ-LHR-6'!G36</f>
        <v>5550</v>
      </c>
      <c r="H5" s="2"/>
    </row>
    <row r="6" spans="1:8" ht="21" customHeight="1" x14ac:dyDescent="0.25">
      <c r="A6" s="9">
        <v>44442</v>
      </c>
      <c r="B6" s="2" t="s">
        <v>8</v>
      </c>
      <c r="C6" s="2" t="s">
        <v>299</v>
      </c>
      <c r="D6" s="2" t="s">
        <v>300</v>
      </c>
      <c r="E6" s="13">
        <v>5550</v>
      </c>
      <c r="F6" s="13"/>
      <c r="G6" s="3">
        <f>G5+F6-E6</f>
        <v>0</v>
      </c>
      <c r="H6" s="2" t="str">
        <f>IF(G6=0,"NIL",IF(G6&gt;0,"CR","DR"))</f>
        <v>NIL</v>
      </c>
    </row>
    <row r="7" spans="1:8" ht="21" customHeight="1" x14ac:dyDescent="0.25">
      <c r="A7" s="9">
        <v>44447</v>
      </c>
      <c r="B7" s="2" t="s">
        <v>10</v>
      </c>
      <c r="C7" s="2" t="s">
        <v>301</v>
      </c>
      <c r="D7" s="2" t="s">
        <v>279</v>
      </c>
      <c r="E7" s="13">
        <v>0</v>
      </c>
      <c r="F7" s="13">
        <v>1200</v>
      </c>
      <c r="G7" s="3">
        <f t="shared" ref="G7:G35" si="0">G6+F7-E7</f>
        <v>1200</v>
      </c>
      <c r="H7" s="2" t="str">
        <f t="shared" ref="H7:H36" si="1">IF(G7=0,"NIL",IF(G7&gt;0,"CR","DR"))</f>
        <v>CR</v>
      </c>
    </row>
    <row r="8" spans="1:8" ht="21" customHeight="1" x14ac:dyDescent="0.25">
      <c r="A8" s="9">
        <v>44455</v>
      </c>
      <c r="B8" s="2" t="s">
        <v>10</v>
      </c>
      <c r="C8" s="2" t="s">
        <v>302</v>
      </c>
      <c r="D8" s="2" t="s">
        <v>303</v>
      </c>
      <c r="E8" s="13">
        <v>0</v>
      </c>
      <c r="F8" s="13">
        <v>2050</v>
      </c>
      <c r="G8" s="3">
        <f t="shared" si="0"/>
        <v>3250</v>
      </c>
      <c r="H8" s="2" t="str">
        <f t="shared" si="1"/>
        <v>CR</v>
      </c>
    </row>
    <row r="9" spans="1:8" ht="21" customHeight="1" x14ac:dyDescent="0.25">
      <c r="A9" s="9" t="s">
        <v>305</v>
      </c>
      <c r="B9" s="2" t="s">
        <v>8</v>
      </c>
      <c r="C9" s="2" t="s">
        <v>304</v>
      </c>
      <c r="D9" s="2" t="s">
        <v>300</v>
      </c>
      <c r="E9" s="13">
        <v>3250</v>
      </c>
      <c r="F9" s="13"/>
      <c r="G9" s="3">
        <f t="shared" si="0"/>
        <v>0</v>
      </c>
      <c r="H9" s="2" t="str">
        <f t="shared" si="1"/>
        <v>NIL</v>
      </c>
    </row>
    <row r="10" spans="1:8" ht="21" customHeight="1" x14ac:dyDescent="0.25">
      <c r="A10" s="9">
        <v>44461</v>
      </c>
      <c r="B10" s="2" t="s">
        <v>10</v>
      </c>
      <c r="C10" s="2" t="s">
        <v>306</v>
      </c>
      <c r="D10" s="2" t="s">
        <v>251</v>
      </c>
      <c r="E10" s="13"/>
      <c r="F10" s="13">
        <v>2400</v>
      </c>
      <c r="G10" s="3">
        <f t="shared" si="0"/>
        <v>2400</v>
      </c>
      <c r="H10" s="2" t="str">
        <f t="shared" si="1"/>
        <v>CR</v>
      </c>
    </row>
    <row r="11" spans="1:8" ht="21" customHeight="1" x14ac:dyDescent="0.25">
      <c r="A11" s="9">
        <v>44463</v>
      </c>
      <c r="B11" s="2" t="s">
        <v>10</v>
      </c>
      <c r="C11" s="2" t="s">
        <v>307</v>
      </c>
      <c r="D11" s="2" t="s">
        <v>308</v>
      </c>
      <c r="E11" s="13">
        <v>0</v>
      </c>
      <c r="F11" s="13">
        <v>1200</v>
      </c>
      <c r="G11" s="3">
        <f t="shared" si="0"/>
        <v>3600</v>
      </c>
      <c r="H11" s="2" t="str">
        <f t="shared" si="1"/>
        <v>CR</v>
      </c>
    </row>
    <row r="12" spans="1:8" ht="21" customHeight="1" x14ac:dyDescent="0.25">
      <c r="A12" s="9">
        <v>44466</v>
      </c>
      <c r="B12" s="2" t="s">
        <v>10</v>
      </c>
      <c r="C12" s="2" t="s">
        <v>309</v>
      </c>
      <c r="D12" s="2" t="s">
        <v>310</v>
      </c>
      <c r="E12" s="13">
        <v>0</v>
      </c>
      <c r="F12" s="13">
        <v>10600</v>
      </c>
      <c r="G12" s="3">
        <f t="shared" si="0"/>
        <v>14200</v>
      </c>
      <c r="H12" s="2" t="str">
        <f t="shared" si="1"/>
        <v>CR</v>
      </c>
    </row>
    <row r="13" spans="1:8" ht="21" customHeight="1" x14ac:dyDescent="0.25">
      <c r="A13" s="9">
        <v>44468</v>
      </c>
      <c r="B13" s="2" t="s">
        <v>8</v>
      </c>
      <c r="C13" s="12" t="s">
        <v>311</v>
      </c>
      <c r="D13" s="2" t="s">
        <v>300</v>
      </c>
      <c r="E13" s="13">
        <v>14200</v>
      </c>
      <c r="F13" s="13">
        <v>0</v>
      </c>
      <c r="G13" s="3">
        <f t="shared" si="0"/>
        <v>0</v>
      </c>
      <c r="H13" s="2" t="str">
        <f t="shared" si="1"/>
        <v>NIL</v>
      </c>
    </row>
    <row r="14" spans="1:8" ht="21" customHeight="1" x14ac:dyDescent="0.25">
      <c r="A14" s="9">
        <v>44469</v>
      </c>
      <c r="B14" s="2" t="s">
        <v>10</v>
      </c>
      <c r="C14" s="12" t="s">
        <v>312</v>
      </c>
      <c r="D14" s="2" t="s">
        <v>313</v>
      </c>
      <c r="E14" s="13"/>
      <c r="F14" s="13">
        <v>1600</v>
      </c>
      <c r="G14" s="3">
        <f t="shared" si="0"/>
        <v>1600</v>
      </c>
      <c r="H14" s="2" t="str">
        <f t="shared" si="1"/>
        <v>CR</v>
      </c>
    </row>
    <row r="15" spans="1:8" ht="21" customHeight="1" x14ac:dyDescent="0.25">
      <c r="A15" s="9">
        <v>44296</v>
      </c>
      <c r="B15" s="2" t="s">
        <v>10</v>
      </c>
      <c r="C15" s="12" t="s">
        <v>314</v>
      </c>
      <c r="D15" s="2" t="s">
        <v>315</v>
      </c>
      <c r="E15" s="13"/>
      <c r="F15" s="13">
        <v>1200</v>
      </c>
      <c r="G15" s="3">
        <f t="shared" si="0"/>
        <v>2800</v>
      </c>
      <c r="H15" s="2" t="str">
        <f t="shared" si="1"/>
        <v>CR</v>
      </c>
    </row>
    <row r="16" spans="1:8" ht="21" customHeight="1" x14ac:dyDescent="0.25">
      <c r="A16" s="9">
        <v>44478</v>
      </c>
      <c r="B16" s="2" t="s">
        <v>8</v>
      </c>
      <c r="C16" s="2" t="s">
        <v>317</v>
      </c>
      <c r="D16" s="2" t="s">
        <v>316</v>
      </c>
      <c r="E16" s="13">
        <v>2800</v>
      </c>
      <c r="F16" s="13"/>
      <c r="G16" s="3">
        <f>G15+F16-E16</f>
        <v>0</v>
      </c>
      <c r="H16" s="2" t="str">
        <f t="shared" si="1"/>
        <v>NIL</v>
      </c>
    </row>
    <row r="17" spans="1:8" ht="21" customHeight="1" x14ac:dyDescent="0.25">
      <c r="A17" s="9">
        <v>44477</v>
      </c>
      <c r="B17" s="2" t="s">
        <v>10</v>
      </c>
      <c r="C17" s="2" t="s">
        <v>318</v>
      </c>
      <c r="D17" s="2" t="s">
        <v>319</v>
      </c>
      <c r="E17" s="13">
        <v>0</v>
      </c>
      <c r="F17" s="13">
        <v>4100</v>
      </c>
      <c r="G17" s="3">
        <f t="shared" si="0"/>
        <v>4100</v>
      </c>
      <c r="H17" s="2" t="str">
        <f t="shared" si="1"/>
        <v>CR</v>
      </c>
    </row>
    <row r="18" spans="1:8" ht="21" customHeight="1" x14ac:dyDescent="0.25">
      <c r="A18" s="9">
        <v>44478</v>
      </c>
      <c r="B18" s="2" t="s">
        <v>10</v>
      </c>
      <c r="C18" s="2" t="s">
        <v>320</v>
      </c>
      <c r="D18" s="2" t="s">
        <v>321</v>
      </c>
      <c r="E18" s="13">
        <v>0</v>
      </c>
      <c r="F18" s="13">
        <v>4100</v>
      </c>
      <c r="G18" s="3">
        <f t="shared" si="0"/>
        <v>8200</v>
      </c>
      <c r="H18" s="2" t="str">
        <f t="shared" si="1"/>
        <v>CR</v>
      </c>
    </row>
    <row r="19" spans="1:8" ht="21" customHeight="1" x14ac:dyDescent="0.25">
      <c r="A19" s="9">
        <v>44483</v>
      </c>
      <c r="B19" s="2" t="s">
        <v>10</v>
      </c>
      <c r="C19" s="2" t="s">
        <v>322</v>
      </c>
      <c r="D19" s="2" t="s">
        <v>254</v>
      </c>
      <c r="E19" s="13">
        <v>0</v>
      </c>
      <c r="F19" s="13">
        <v>2400</v>
      </c>
      <c r="G19" s="3">
        <f t="shared" si="0"/>
        <v>10600</v>
      </c>
      <c r="H19" s="2" t="str">
        <f t="shared" si="1"/>
        <v>CR</v>
      </c>
    </row>
    <row r="20" spans="1:8" ht="21" customHeight="1" x14ac:dyDescent="0.25">
      <c r="A20" s="9">
        <v>44486</v>
      </c>
      <c r="B20" s="2" t="s">
        <v>8</v>
      </c>
      <c r="C20" s="12" t="s">
        <v>317</v>
      </c>
      <c r="D20" s="2" t="s">
        <v>316</v>
      </c>
      <c r="E20" s="13">
        <v>10600</v>
      </c>
      <c r="F20" s="13">
        <v>0</v>
      </c>
      <c r="G20" s="3">
        <f t="shared" si="0"/>
        <v>0</v>
      </c>
      <c r="H20" s="2" t="str">
        <f t="shared" si="1"/>
        <v>NIL</v>
      </c>
    </row>
    <row r="21" spans="1:8" ht="21" customHeight="1" x14ac:dyDescent="0.25">
      <c r="A21" s="9">
        <v>44490</v>
      </c>
      <c r="B21" s="2" t="s">
        <v>10</v>
      </c>
      <c r="C21" s="12" t="s">
        <v>323</v>
      </c>
      <c r="D21" s="2" t="s">
        <v>324</v>
      </c>
      <c r="E21" s="13">
        <v>0</v>
      </c>
      <c r="F21" s="13">
        <v>12250</v>
      </c>
      <c r="G21" s="3">
        <f t="shared" si="0"/>
        <v>12250</v>
      </c>
      <c r="H21" s="2" t="str">
        <f t="shared" si="1"/>
        <v>CR</v>
      </c>
    </row>
    <row r="22" spans="1:8" ht="21" customHeight="1" x14ac:dyDescent="0.25">
      <c r="A22" s="9">
        <v>44480</v>
      </c>
      <c r="B22" s="2" t="s">
        <v>8</v>
      </c>
      <c r="C22" s="12" t="s">
        <v>317</v>
      </c>
      <c r="D22" s="2" t="s">
        <v>316</v>
      </c>
      <c r="E22" s="13">
        <v>12250</v>
      </c>
      <c r="F22" s="13"/>
      <c r="G22" s="3">
        <f t="shared" si="0"/>
        <v>0</v>
      </c>
      <c r="H22" s="2" t="str">
        <f t="shared" si="1"/>
        <v>NIL</v>
      </c>
    </row>
    <row r="23" spans="1:8" ht="21" customHeight="1" x14ac:dyDescent="0.25">
      <c r="A23" s="9">
        <v>44515</v>
      </c>
      <c r="B23" s="2" t="s">
        <v>10</v>
      </c>
      <c r="C23" s="2" t="s">
        <v>325</v>
      </c>
      <c r="D23" s="2" t="s">
        <v>326</v>
      </c>
      <c r="E23" s="13">
        <v>0</v>
      </c>
      <c r="F23" s="13">
        <v>2300</v>
      </c>
      <c r="G23" s="3">
        <f t="shared" si="0"/>
        <v>2300</v>
      </c>
      <c r="H23" s="2" t="str">
        <f t="shared" si="1"/>
        <v>CR</v>
      </c>
    </row>
    <row r="24" spans="1:8" ht="21" customHeight="1" x14ac:dyDescent="0.25">
      <c r="A24" s="9">
        <v>44522</v>
      </c>
      <c r="B24" s="2" t="s">
        <v>8</v>
      </c>
      <c r="C24" s="12" t="s">
        <v>317</v>
      </c>
      <c r="D24" s="2" t="s">
        <v>316</v>
      </c>
      <c r="E24" s="13">
        <v>2300</v>
      </c>
      <c r="F24" s="13"/>
      <c r="G24" s="3">
        <f t="shared" si="0"/>
        <v>0</v>
      </c>
      <c r="H24" s="2" t="str">
        <f t="shared" si="1"/>
        <v>NIL</v>
      </c>
    </row>
    <row r="25" spans="1:8" ht="21" customHeight="1" x14ac:dyDescent="0.25">
      <c r="A25" s="9">
        <v>44544</v>
      </c>
      <c r="B25" s="2" t="s">
        <v>10</v>
      </c>
      <c r="C25" s="2" t="s">
        <v>328</v>
      </c>
      <c r="D25" s="2" t="s">
        <v>327</v>
      </c>
      <c r="E25" s="13">
        <v>0</v>
      </c>
      <c r="F25" s="13">
        <v>3100</v>
      </c>
      <c r="G25" s="3">
        <f t="shared" si="0"/>
        <v>3100</v>
      </c>
      <c r="H25" s="2" t="str">
        <f t="shared" si="1"/>
        <v>CR</v>
      </c>
    </row>
    <row r="26" spans="1:8" ht="21" customHeight="1" x14ac:dyDescent="0.25">
      <c r="A26" s="9">
        <v>44557</v>
      </c>
      <c r="B26" s="2" t="s">
        <v>10</v>
      </c>
      <c r="C26" s="2" t="s">
        <v>329</v>
      </c>
      <c r="D26" s="2" t="s">
        <v>330</v>
      </c>
      <c r="E26" s="13">
        <v>0</v>
      </c>
      <c r="F26" s="13">
        <v>3150</v>
      </c>
      <c r="G26" s="3">
        <f t="shared" si="0"/>
        <v>6250</v>
      </c>
      <c r="H26" s="2" t="str">
        <f t="shared" si="1"/>
        <v>CR</v>
      </c>
    </row>
    <row r="27" spans="1:8" ht="21" customHeight="1" x14ac:dyDescent="0.25">
      <c r="A27" s="9">
        <v>44558</v>
      </c>
      <c r="B27" s="2" t="s">
        <v>10</v>
      </c>
      <c r="C27" s="2" t="s">
        <v>331</v>
      </c>
      <c r="D27" s="2" t="s">
        <v>332</v>
      </c>
      <c r="E27" s="13">
        <v>0</v>
      </c>
      <c r="F27" s="13">
        <v>1400</v>
      </c>
      <c r="G27" s="3">
        <f t="shared" si="0"/>
        <v>7650</v>
      </c>
      <c r="H27" s="2" t="str">
        <f t="shared" si="1"/>
        <v>CR</v>
      </c>
    </row>
    <row r="28" spans="1:8" ht="21" customHeight="1" x14ac:dyDescent="0.25">
      <c r="A28" s="9">
        <v>44562</v>
      </c>
      <c r="B28" s="2" t="s">
        <v>10</v>
      </c>
      <c r="C28" s="2" t="s">
        <v>333</v>
      </c>
      <c r="D28" s="2" t="s">
        <v>334</v>
      </c>
      <c r="E28" s="13">
        <v>0</v>
      </c>
      <c r="F28" s="13">
        <v>3850</v>
      </c>
      <c r="G28" s="3">
        <f t="shared" si="0"/>
        <v>11500</v>
      </c>
      <c r="H28" s="2" t="str">
        <f t="shared" si="1"/>
        <v>CR</v>
      </c>
    </row>
    <row r="29" spans="1:8" ht="21" customHeight="1" x14ac:dyDescent="0.25">
      <c r="A29" s="9">
        <v>44564</v>
      </c>
      <c r="B29" s="2" t="s">
        <v>10</v>
      </c>
      <c r="C29" s="2" t="s">
        <v>335</v>
      </c>
      <c r="D29" s="2" t="s">
        <v>336</v>
      </c>
      <c r="E29" s="13">
        <v>0</v>
      </c>
      <c r="F29" s="13">
        <v>4450</v>
      </c>
      <c r="G29" s="3">
        <f t="shared" si="0"/>
        <v>15950</v>
      </c>
      <c r="H29" s="2" t="str">
        <f t="shared" si="1"/>
        <v>CR</v>
      </c>
    </row>
    <row r="30" spans="1:8" ht="21" customHeight="1" x14ac:dyDescent="0.25">
      <c r="A30" s="9">
        <v>44566</v>
      </c>
      <c r="B30" s="2" t="s">
        <v>10</v>
      </c>
      <c r="C30" s="2" t="s">
        <v>337</v>
      </c>
      <c r="D30" s="2" t="s">
        <v>338</v>
      </c>
      <c r="E30" s="13">
        <v>0</v>
      </c>
      <c r="F30" s="13">
        <v>2450</v>
      </c>
      <c r="G30" s="3">
        <f t="shared" si="0"/>
        <v>18400</v>
      </c>
      <c r="H30" s="2" t="str">
        <f t="shared" si="1"/>
        <v>CR</v>
      </c>
    </row>
    <row r="31" spans="1:8" ht="21" customHeight="1" x14ac:dyDescent="0.25">
      <c r="A31" s="9">
        <v>44567</v>
      </c>
      <c r="B31" s="2" t="s">
        <v>8</v>
      </c>
      <c r="C31" s="2" t="s">
        <v>317</v>
      </c>
      <c r="D31" s="2" t="s">
        <v>316</v>
      </c>
      <c r="E31" s="13">
        <v>18400</v>
      </c>
      <c r="F31" s="13">
        <v>0</v>
      </c>
      <c r="G31" s="3">
        <f t="shared" si="0"/>
        <v>0</v>
      </c>
      <c r="H31" s="2" t="str">
        <f t="shared" si="1"/>
        <v>NIL</v>
      </c>
    </row>
    <row r="32" spans="1:8" ht="21" customHeight="1" x14ac:dyDescent="0.25">
      <c r="A32" s="9">
        <v>44571</v>
      </c>
      <c r="B32" s="2" t="s">
        <v>10</v>
      </c>
      <c r="C32" s="2" t="s">
        <v>339</v>
      </c>
      <c r="D32" s="2" t="s">
        <v>235</v>
      </c>
      <c r="E32" s="13">
        <v>0</v>
      </c>
      <c r="F32" s="13">
        <v>6200</v>
      </c>
      <c r="G32" s="3">
        <f t="shared" si="0"/>
        <v>6200</v>
      </c>
      <c r="H32" s="2" t="str">
        <f t="shared" si="1"/>
        <v>CR</v>
      </c>
    </row>
    <row r="33" spans="1:8" ht="21" customHeight="1" x14ac:dyDescent="0.25">
      <c r="A33" s="9">
        <v>44571</v>
      </c>
      <c r="B33" s="2" t="s">
        <v>33</v>
      </c>
      <c r="C33" s="2" t="s">
        <v>340</v>
      </c>
      <c r="D33" s="2" t="s">
        <v>340</v>
      </c>
      <c r="E33" s="13">
        <v>6200</v>
      </c>
      <c r="F33" s="13"/>
      <c r="G33" s="3">
        <f t="shared" si="0"/>
        <v>0</v>
      </c>
      <c r="H33" s="2" t="str">
        <f t="shared" si="1"/>
        <v>NIL</v>
      </c>
    </row>
    <row r="34" spans="1:8" ht="21" customHeight="1" x14ac:dyDescent="0.25">
      <c r="A34" s="9">
        <v>44581</v>
      </c>
      <c r="B34" s="2" t="s">
        <v>10</v>
      </c>
      <c r="C34" s="2" t="s">
        <v>341</v>
      </c>
      <c r="D34" s="2" t="s">
        <v>254</v>
      </c>
      <c r="E34" s="13"/>
      <c r="F34" s="13">
        <v>2450</v>
      </c>
      <c r="G34" s="3">
        <f t="shared" si="0"/>
        <v>2450</v>
      </c>
      <c r="H34" s="2" t="str">
        <f t="shared" si="1"/>
        <v>CR</v>
      </c>
    </row>
    <row r="35" spans="1:8" ht="21" customHeight="1" x14ac:dyDescent="0.25">
      <c r="A35" s="9">
        <v>44581</v>
      </c>
      <c r="B35" s="2" t="s">
        <v>33</v>
      </c>
      <c r="C35" s="2" t="s">
        <v>342</v>
      </c>
      <c r="D35" s="2" t="s">
        <v>342</v>
      </c>
      <c r="E35" s="13">
        <v>1400</v>
      </c>
      <c r="F35" s="13">
        <v>0</v>
      </c>
      <c r="G35" s="3">
        <f t="shared" si="0"/>
        <v>1050</v>
      </c>
      <c r="H35" s="2" t="str">
        <f t="shared" si="1"/>
        <v>CR</v>
      </c>
    </row>
    <row r="36" spans="1:8" ht="21" customHeight="1" x14ac:dyDescent="0.25">
      <c r="A36" s="10"/>
      <c r="B36" s="4"/>
      <c r="C36" s="4"/>
      <c r="D36" s="4" t="s">
        <v>9</v>
      </c>
      <c r="E36" s="5">
        <f>SUM(E6:E35)</f>
        <v>76950</v>
      </c>
      <c r="F36" s="5">
        <f>SUM(F6:F35)</f>
        <v>72450</v>
      </c>
      <c r="G36" s="5">
        <f>G5+F36-E36</f>
        <v>1050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printOptions horizontalCentered="1"/>
  <pageMargins left="0.7" right="0.7" top="0.75" bottom="0.75" header="0.3" footer="0.3"/>
  <pageSetup paperSize="9" scale="8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36"/>
  <sheetViews>
    <sheetView zoomScaleNormal="100" workbookViewId="0">
      <pane ySplit="4" topLeftCell="A5" activePane="bottomLeft" state="frozen"/>
      <selection pane="bottomLeft" activeCell="F32" sqref="F32"/>
    </sheetView>
  </sheetViews>
  <sheetFormatPr defaultRowHeight="15" x14ac:dyDescent="0.25"/>
  <cols>
    <col min="1" max="1" width="12.140625" style="11" bestFit="1" customWidth="1"/>
    <col min="2" max="2" width="12" bestFit="1" customWidth="1"/>
    <col min="3" max="3" width="19.5703125" bestFit="1" customWidth="1"/>
    <col min="4" max="4" width="39.140625" customWidth="1"/>
    <col min="5" max="7" width="9" style="1" bestFit="1" customWidth="1"/>
    <col min="8" max="8" width="3.85546875" customWidth="1"/>
  </cols>
  <sheetData>
    <row r="1" spans="1:8" ht="15.75" x14ac:dyDescent="0.25">
      <c r="A1" s="100" t="s">
        <v>0</v>
      </c>
      <c r="B1" s="100"/>
      <c r="C1" s="100"/>
      <c r="D1" s="100"/>
      <c r="E1" s="100"/>
      <c r="F1" s="100"/>
      <c r="G1" s="100"/>
      <c r="H1" s="100"/>
    </row>
    <row r="2" spans="1:8" ht="15.75" x14ac:dyDescent="0.25">
      <c r="A2" s="100" t="s">
        <v>12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21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6" t="s">
        <v>5</v>
      </c>
      <c r="F4" s="16" t="s">
        <v>6</v>
      </c>
      <c r="G4" s="102" t="s">
        <v>7</v>
      </c>
      <c r="H4" s="102"/>
    </row>
    <row r="5" spans="1:8" ht="21" customHeight="1" x14ac:dyDescent="0.25">
      <c r="A5" s="9"/>
      <c r="B5" s="2"/>
      <c r="C5" s="2"/>
      <c r="D5" s="2" t="s">
        <v>79</v>
      </c>
      <c r="E5" s="3"/>
      <c r="F5" s="3"/>
      <c r="G5" s="3">
        <f>'AL AZIZ-LHR-7 '!G36</f>
        <v>1050</v>
      </c>
      <c r="H5" s="2"/>
    </row>
    <row r="6" spans="1:8" ht="21" customHeight="1" x14ac:dyDescent="0.25">
      <c r="A6" s="9">
        <v>44581</v>
      </c>
      <c r="B6" s="2" t="s">
        <v>33</v>
      </c>
      <c r="C6" s="2" t="s">
        <v>129</v>
      </c>
      <c r="D6" s="2" t="s">
        <v>343</v>
      </c>
      <c r="E6" s="13">
        <v>2450</v>
      </c>
      <c r="F6" s="13"/>
      <c r="G6" s="3">
        <f>G5+F6-E6</f>
        <v>-1400</v>
      </c>
      <c r="H6" s="2" t="str">
        <f>IF(G6=0,"NIL",IF(G6&gt;0,"CR","DR"))</f>
        <v>DR</v>
      </c>
    </row>
    <row r="7" spans="1:8" ht="21" customHeight="1" x14ac:dyDescent="0.25">
      <c r="A7" s="9">
        <v>44585</v>
      </c>
      <c r="B7" s="2" t="s">
        <v>10</v>
      </c>
      <c r="C7" s="2" t="s">
        <v>344</v>
      </c>
      <c r="D7" s="2" t="s">
        <v>345</v>
      </c>
      <c r="E7" s="13">
        <v>0</v>
      </c>
      <c r="F7" s="13">
        <v>1600</v>
      </c>
      <c r="G7" s="3">
        <f t="shared" ref="G7:G35" si="0">G6+F7-E7</f>
        <v>200</v>
      </c>
      <c r="H7" s="2" t="str">
        <f t="shared" ref="H7:H36" si="1">IF(G7=0,"NIL",IF(G7&gt;0,"CR","DR"))</f>
        <v>CR</v>
      </c>
    </row>
    <row r="8" spans="1:8" ht="21" customHeight="1" x14ac:dyDescent="0.25">
      <c r="A8" s="19">
        <v>44586</v>
      </c>
      <c r="B8" s="20" t="s">
        <v>33</v>
      </c>
      <c r="C8" s="20" t="s">
        <v>129</v>
      </c>
      <c r="D8" s="20" t="s">
        <v>345</v>
      </c>
      <c r="E8" s="21">
        <v>1600</v>
      </c>
      <c r="F8" s="13"/>
      <c r="G8" s="3">
        <f t="shared" si="0"/>
        <v>-1400</v>
      </c>
      <c r="H8" s="2" t="str">
        <f t="shared" si="1"/>
        <v>DR</v>
      </c>
    </row>
    <row r="9" spans="1:8" ht="21" customHeight="1" x14ac:dyDescent="0.25">
      <c r="A9" s="9">
        <v>44586</v>
      </c>
      <c r="B9" s="2" t="s">
        <v>10</v>
      </c>
      <c r="C9" s="2" t="s">
        <v>346</v>
      </c>
      <c r="D9" s="2" t="s">
        <v>345</v>
      </c>
      <c r="E9" s="13">
        <v>0</v>
      </c>
      <c r="F9" s="13">
        <v>1600</v>
      </c>
      <c r="G9" s="3">
        <f t="shared" si="0"/>
        <v>200</v>
      </c>
      <c r="H9" s="2" t="str">
        <f t="shared" si="1"/>
        <v>CR</v>
      </c>
    </row>
    <row r="10" spans="1:8" ht="21" customHeight="1" x14ac:dyDescent="0.25">
      <c r="A10" s="9">
        <v>44600</v>
      </c>
      <c r="B10" s="2" t="s">
        <v>10</v>
      </c>
      <c r="C10" s="2" t="s">
        <v>347</v>
      </c>
      <c r="D10" s="2" t="s">
        <v>348</v>
      </c>
      <c r="E10" s="13">
        <v>0</v>
      </c>
      <c r="F10" s="13">
        <v>10750</v>
      </c>
      <c r="G10" s="3">
        <f t="shared" si="0"/>
        <v>10950</v>
      </c>
      <c r="H10" s="2" t="str">
        <f t="shared" si="1"/>
        <v>CR</v>
      </c>
    </row>
    <row r="11" spans="1:8" ht="21" customHeight="1" x14ac:dyDescent="0.25">
      <c r="A11" s="9">
        <v>44600</v>
      </c>
      <c r="B11" s="2" t="s">
        <v>10</v>
      </c>
      <c r="C11" s="2" t="s">
        <v>349</v>
      </c>
      <c r="D11" s="2" t="s">
        <v>345</v>
      </c>
      <c r="E11" s="13">
        <v>0</v>
      </c>
      <c r="F11" s="13">
        <v>1500</v>
      </c>
      <c r="G11" s="3">
        <f t="shared" si="0"/>
        <v>12450</v>
      </c>
      <c r="H11" s="2" t="str">
        <f t="shared" si="1"/>
        <v>CR</v>
      </c>
    </row>
    <row r="12" spans="1:8" ht="21" customHeight="1" x14ac:dyDescent="0.25">
      <c r="A12" s="19">
        <v>44600</v>
      </c>
      <c r="B12" s="20" t="s">
        <v>33</v>
      </c>
      <c r="C12" s="20" t="s">
        <v>350</v>
      </c>
      <c r="D12" s="20" t="s">
        <v>351</v>
      </c>
      <c r="E12" s="21">
        <v>1500</v>
      </c>
      <c r="F12" s="13">
        <v>0</v>
      </c>
      <c r="G12" s="3">
        <f t="shared" si="0"/>
        <v>10950</v>
      </c>
      <c r="H12" s="2" t="str">
        <f t="shared" si="1"/>
        <v>CR</v>
      </c>
    </row>
    <row r="13" spans="1:8" ht="21" customHeight="1" x14ac:dyDescent="0.25">
      <c r="A13" s="9">
        <v>44615</v>
      </c>
      <c r="B13" s="2" t="s">
        <v>8</v>
      </c>
      <c r="C13" s="12" t="s">
        <v>317</v>
      </c>
      <c r="D13" s="2" t="s">
        <v>352</v>
      </c>
      <c r="E13" s="13">
        <v>10950</v>
      </c>
      <c r="F13" s="13"/>
      <c r="G13" s="3">
        <f t="shared" si="0"/>
        <v>0</v>
      </c>
      <c r="H13" s="2" t="str">
        <f t="shared" si="1"/>
        <v>NIL</v>
      </c>
    </row>
    <row r="14" spans="1:8" ht="21" customHeight="1" x14ac:dyDescent="0.25">
      <c r="A14" s="9">
        <v>44623</v>
      </c>
      <c r="B14" s="2" t="s">
        <v>10</v>
      </c>
      <c r="C14" s="12" t="s">
        <v>353</v>
      </c>
      <c r="D14" s="12" t="s">
        <v>70</v>
      </c>
      <c r="E14" s="13">
        <v>0</v>
      </c>
      <c r="F14" s="13">
        <v>12300</v>
      </c>
      <c r="G14" s="3">
        <f t="shared" si="0"/>
        <v>12300</v>
      </c>
      <c r="H14" s="2" t="str">
        <f t="shared" si="1"/>
        <v>CR</v>
      </c>
    </row>
    <row r="15" spans="1:8" ht="21" customHeight="1" x14ac:dyDescent="0.25">
      <c r="A15" s="9">
        <v>44627</v>
      </c>
      <c r="B15" s="2" t="s">
        <v>8</v>
      </c>
      <c r="C15" s="12" t="s">
        <v>317</v>
      </c>
      <c r="D15" s="2" t="s">
        <v>354</v>
      </c>
      <c r="E15" s="13">
        <v>12300</v>
      </c>
      <c r="F15" s="13">
        <v>0</v>
      </c>
      <c r="G15" s="3">
        <f t="shared" si="0"/>
        <v>0</v>
      </c>
      <c r="H15" s="2" t="str">
        <f t="shared" si="1"/>
        <v>NIL</v>
      </c>
    </row>
    <row r="16" spans="1:8" ht="21" customHeight="1" x14ac:dyDescent="0.25">
      <c r="A16" s="9">
        <v>44642</v>
      </c>
      <c r="B16" s="2" t="s">
        <v>10</v>
      </c>
      <c r="C16" s="2" t="s">
        <v>355</v>
      </c>
      <c r="D16" s="2" t="s">
        <v>356</v>
      </c>
      <c r="E16" s="13">
        <v>0</v>
      </c>
      <c r="F16" s="13">
        <v>6950</v>
      </c>
      <c r="G16" s="3">
        <f>G15+F16-E16</f>
        <v>6950</v>
      </c>
      <c r="H16" s="2" t="str">
        <f t="shared" si="1"/>
        <v>CR</v>
      </c>
    </row>
    <row r="17" spans="1:8" ht="21" customHeight="1" x14ac:dyDescent="0.25">
      <c r="A17" s="9">
        <v>44644</v>
      </c>
      <c r="B17" s="2" t="s">
        <v>8</v>
      </c>
      <c r="C17" s="2" t="s">
        <v>317</v>
      </c>
      <c r="D17" s="2" t="s">
        <v>354</v>
      </c>
      <c r="E17" s="13">
        <v>6950</v>
      </c>
      <c r="F17" s="13">
        <v>0</v>
      </c>
      <c r="G17" s="3">
        <f t="shared" si="0"/>
        <v>0</v>
      </c>
      <c r="H17" s="2" t="str">
        <f t="shared" si="1"/>
        <v>NIL</v>
      </c>
    </row>
    <row r="18" spans="1:8" ht="21" customHeight="1" x14ac:dyDescent="0.25">
      <c r="A18" s="9">
        <v>44645</v>
      </c>
      <c r="B18" s="2" t="s">
        <v>10</v>
      </c>
      <c r="C18" s="2" t="s">
        <v>357</v>
      </c>
      <c r="D18" s="2" t="s">
        <v>140</v>
      </c>
      <c r="E18" s="13">
        <v>0</v>
      </c>
      <c r="F18" s="13">
        <v>2600</v>
      </c>
      <c r="G18" s="3">
        <f t="shared" si="0"/>
        <v>2600</v>
      </c>
      <c r="H18" s="2" t="str">
        <f t="shared" si="1"/>
        <v>CR</v>
      </c>
    </row>
    <row r="19" spans="1:8" ht="21" customHeight="1" x14ac:dyDescent="0.25">
      <c r="A19" s="9">
        <v>44646</v>
      </c>
      <c r="B19" s="2" t="s">
        <v>10</v>
      </c>
      <c r="C19" s="2" t="s">
        <v>358</v>
      </c>
      <c r="D19" s="2" t="s">
        <v>359</v>
      </c>
      <c r="E19" s="13">
        <v>0</v>
      </c>
      <c r="F19" s="13">
        <v>2450</v>
      </c>
      <c r="G19" s="3">
        <f t="shared" si="0"/>
        <v>5050</v>
      </c>
      <c r="H19" s="2" t="str">
        <f t="shared" si="1"/>
        <v>CR</v>
      </c>
    </row>
    <row r="20" spans="1:8" ht="21" customHeight="1" x14ac:dyDescent="0.25">
      <c r="A20" s="9">
        <v>44655</v>
      </c>
      <c r="B20" s="2" t="s">
        <v>10</v>
      </c>
      <c r="C20" s="2" t="s">
        <v>360</v>
      </c>
      <c r="D20" s="2" t="s">
        <v>361</v>
      </c>
      <c r="E20" s="13">
        <v>0</v>
      </c>
      <c r="F20" s="13">
        <v>2400</v>
      </c>
      <c r="G20" s="3">
        <f t="shared" si="0"/>
        <v>7450</v>
      </c>
      <c r="H20" s="2" t="str">
        <f t="shared" si="1"/>
        <v>CR</v>
      </c>
    </row>
    <row r="21" spans="1:8" ht="21" customHeight="1" x14ac:dyDescent="0.25">
      <c r="A21" s="9">
        <v>44655</v>
      </c>
      <c r="B21" s="2" t="s">
        <v>10</v>
      </c>
      <c r="C21" s="12" t="s">
        <v>362</v>
      </c>
      <c r="D21" s="2" t="s">
        <v>363</v>
      </c>
      <c r="E21" s="13"/>
      <c r="F21" s="13">
        <v>8600</v>
      </c>
      <c r="G21" s="3">
        <f t="shared" si="0"/>
        <v>16050</v>
      </c>
      <c r="H21" s="2" t="str">
        <f t="shared" si="1"/>
        <v>CR</v>
      </c>
    </row>
    <row r="22" spans="1:8" ht="21" customHeight="1" x14ac:dyDescent="0.25">
      <c r="A22" s="9">
        <v>44658</v>
      </c>
      <c r="B22" s="2" t="s">
        <v>10</v>
      </c>
      <c r="C22" s="12" t="s">
        <v>367</v>
      </c>
      <c r="D22" s="2" t="s">
        <v>364</v>
      </c>
      <c r="E22" s="13">
        <v>0</v>
      </c>
      <c r="F22" s="13">
        <v>1600</v>
      </c>
      <c r="G22" s="3">
        <f t="shared" si="0"/>
        <v>17650</v>
      </c>
      <c r="H22" s="2" t="str">
        <f t="shared" si="1"/>
        <v>CR</v>
      </c>
    </row>
    <row r="23" spans="1:8" ht="21" customHeight="1" x14ac:dyDescent="0.25">
      <c r="A23" s="9">
        <v>44659</v>
      </c>
      <c r="B23" s="2" t="s">
        <v>8</v>
      </c>
      <c r="C23" s="2" t="s">
        <v>365</v>
      </c>
      <c r="D23" s="2" t="s">
        <v>366</v>
      </c>
      <c r="E23" s="13">
        <v>17650</v>
      </c>
      <c r="F23" s="13">
        <v>0</v>
      </c>
      <c r="G23" s="3">
        <f t="shared" si="0"/>
        <v>0</v>
      </c>
      <c r="H23" s="2" t="str">
        <f t="shared" si="1"/>
        <v>NIL</v>
      </c>
    </row>
    <row r="24" spans="1:8" ht="21" customHeight="1" x14ac:dyDescent="0.25">
      <c r="A24" s="9">
        <v>44659</v>
      </c>
      <c r="B24" s="2" t="s">
        <v>10</v>
      </c>
      <c r="C24" s="12" t="s">
        <v>368</v>
      </c>
      <c r="D24" s="2" t="s">
        <v>361</v>
      </c>
      <c r="E24" s="13">
        <v>0</v>
      </c>
      <c r="F24" s="13">
        <v>2450</v>
      </c>
      <c r="G24" s="3">
        <f t="shared" si="0"/>
        <v>2450</v>
      </c>
      <c r="H24" s="2" t="str">
        <f t="shared" si="1"/>
        <v>CR</v>
      </c>
    </row>
    <row r="25" spans="1:8" ht="21" customHeight="1" x14ac:dyDescent="0.25">
      <c r="A25" s="9">
        <v>44660</v>
      </c>
      <c r="B25" s="2" t="s">
        <v>10</v>
      </c>
      <c r="C25" s="2" t="s">
        <v>369</v>
      </c>
      <c r="D25" s="2" t="s">
        <v>370</v>
      </c>
      <c r="E25" s="13"/>
      <c r="F25" s="13">
        <v>4350</v>
      </c>
      <c r="G25" s="3">
        <f t="shared" si="0"/>
        <v>6800</v>
      </c>
      <c r="H25" s="2" t="str">
        <f t="shared" si="1"/>
        <v>CR</v>
      </c>
    </row>
    <row r="26" spans="1:8" ht="21" customHeight="1" x14ac:dyDescent="0.25">
      <c r="A26" s="9">
        <v>44665</v>
      </c>
      <c r="B26" s="2" t="s">
        <v>10</v>
      </c>
      <c r="C26" s="2" t="s">
        <v>371</v>
      </c>
      <c r="D26" s="2" t="s">
        <v>372</v>
      </c>
      <c r="E26" s="13"/>
      <c r="F26" s="13">
        <f>4800</f>
        <v>4800</v>
      </c>
      <c r="G26" s="3">
        <f t="shared" si="0"/>
        <v>11600</v>
      </c>
      <c r="H26" s="2" t="str">
        <f t="shared" si="1"/>
        <v>CR</v>
      </c>
    </row>
    <row r="27" spans="1:8" ht="21" customHeight="1" x14ac:dyDescent="0.25">
      <c r="A27" s="9">
        <v>44671</v>
      </c>
      <c r="B27" s="2" t="s">
        <v>10</v>
      </c>
      <c r="C27" s="2" t="s">
        <v>373</v>
      </c>
      <c r="D27" s="2" t="s">
        <v>374</v>
      </c>
      <c r="E27" s="13"/>
      <c r="F27" s="13">
        <v>1500</v>
      </c>
      <c r="G27" s="3">
        <f t="shared" si="0"/>
        <v>13100</v>
      </c>
      <c r="H27" s="2" t="str">
        <f t="shared" si="1"/>
        <v>CR</v>
      </c>
    </row>
    <row r="28" spans="1:8" ht="21" customHeight="1" x14ac:dyDescent="0.25">
      <c r="A28" s="9">
        <v>44672</v>
      </c>
      <c r="B28" s="2" t="s">
        <v>10</v>
      </c>
      <c r="C28" s="2" t="s">
        <v>375</v>
      </c>
      <c r="D28" s="2" t="s">
        <v>376</v>
      </c>
      <c r="E28" s="13"/>
      <c r="F28" s="13">
        <f>1400</f>
        <v>1400</v>
      </c>
      <c r="G28" s="3">
        <f t="shared" si="0"/>
        <v>14500</v>
      </c>
      <c r="H28" s="2" t="str">
        <f t="shared" si="1"/>
        <v>CR</v>
      </c>
    </row>
    <row r="29" spans="1:8" ht="21" customHeight="1" x14ac:dyDescent="0.25">
      <c r="A29" s="9">
        <v>44674</v>
      </c>
      <c r="B29" s="2" t="s">
        <v>8</v>
      </c>
      <c r="C29" s="2" t="s">
        <v>317</v>
      </c>
      <c r="D29" s="2" t="s">
        <v>354</v>
      </c>
      <c r="E29" s="13">
        <v>14500</v>
      </c>
      <c r="F29" s="13">
        <v>0</v>
      </c>
      <c r="G29" s="3">
        <f t="shared" si="0"/>
        <v>0</v>
      </c>
      <c r="H29" s="2" t="str">
        <f t="shared" si="1"/>
        <v>NIL</v>
      </c>
    </row>
    <row r="30" spans="1:8" ht="21" customHeight="1" x14ac:dyDescent="0.25">
      <c r="A30" s="9">
        <v>44674</v>
      </c>
      <c r="B30" s="2" t="s">
        <v>10</v>
      </c>
      <c r="C30" s="2" t="s">
        <v>377</v>
      </c>
      <c r="D30" s="2" t="s">
        <v>378</v>
      </c>
      <c r="E30" s="13">
        <v>0</v>
      </c>
      <c r="F30" s="13">
        <v>700</v>
      </c>
      <c r="G30" s="3">
        <f t="shared" si="0"/>
        <v>700</v>
      </c>
      <c r="H30" s="2" t="str">
        <f t="shared" si="1"/>
        <v>CR</v>
      </c>
    </row>
    <row r="31" spans="1:8" ht="21" customHeight="1" x14ac:dyDescent="0.25">
      <c r="A31" s="9">
        <v>44680</v>
      </c>
      <c r="B31" s="2" t="s">
        <v>10</v>
      </c>
      <c r="C31" s="2" t="s">
        <v>380</v>
      </c>
      <c r="D31" s="2" t="s">
        <v>379</v>
      </c>
      <c r="E31" s="13">
        <v>0</v>
      </c>
      <c r="F31" s="13">
        <v>2500</v>
      </c>
      <c r="G31" s="3">
        <f t="shared" si="0"/>
        <v>3200</v>
      </c>
      <c r="H31" s="2" t="str">
        <f t="shared" si="1"/>
        <v>CR</v>
      </c>
    </row>
    <row r="32" spans="1:8" ht="21" customHeight="1" x14ac:dyDescent="0.25">
      <c r="A32" s="9">
        <v>44688</v>
      </c>
      <c r="B32" s="2" t="s">
        <v>10</v>
      </c>
      <c r="C32" s="2" t="s">
        <v>381</v>
      </c>
      <c r="D32" s="2" t="s">
        <v>382</v>
      </c>
      <c r="E32" s="13">
        <v>0</v>
      </c>
      <c r="F32" s="13">
        <v>2500</v>
      </c>
      <c r="G32" s="3">
        <f t="shared" si="0"/>
        <v>5700</v>
      </c>
      <c r="H32" s="2" t="str">
        <f t="shared" si="1"/>
        <v>CR</v>
      </c>
    </row>
    <row r="33" spans="1:8" ht="21" customHeight="1" x14ac:dyDescent="0.25">
      <c r="A33" s="9">
        <v>44693</v>
      </c>
      <c r="B33" s="2" t="s">
        <v>413</v>
      </c>
      <c r="C33" s="2" t="s">
        <v>365</v>
      </c>
      <c r="D33" s="2" t="s">
        <v>366</v>
      </c>
      <c r="E33" s="13">
        <v>5700</v>
      </c>
      <c r="F33" s="13"/>
      <c r="G33" s="3">
        <f t="shared" si="0"/>
        <v>0</v>
      </c>
      <c r="H33" s="2" t="str">
        <f t="shared" si="1"/>
        <v>NIL</v>
      </c>
    </row>
    <row r="34" spans="1:8" ht="21" customHeight="1" x14ac:dyDescent="0.25">
      <c r="A34" s="9">
        <v>44730</v>
      </c>
      <c r="B34" s="2" t="s">
        <v>10</v>
      </c>
      <c r="C34" s="2" t="s">
        <v>383</v>
      </c>
      <c r="D34" s="2" t="s">
        <v>348</v>
      </c>
      <c r="E34" s="13">
        <v>0</v>
      </c>
      <c r="F34" s="13">
        <v>10750</v>
      </c>
      <c r="G34" s="3">
        <f t="shared" si="0"/>
        <v>10750</v>
      </c>
      <c r="H34" s="2" t="str">
        <f t="shared" si="1"/>
        <v>CR</v>
      </c>
    </row>
    <row r="35" spans="1:8" ht="21" customHeight="1" x14ac:dyDescent="0.25">
      <c r="A35" s="9">
        <v>44733</v>
      </c>
      <c r="B35" s="2" t="s">
        <v>10</v>
      </c>
      <c r="C35" s="2" t="s">
        <v>384</v>
      </c>
      <c r="D35" s="2" t="s">
        <v>385</v>
      </c>
      <c r="E35" s="13">
        <v>0</v>
      </c>
      <c r="F35" s="13">
        <v>2450</v>
      </c>
      <c r="G35" s="3">
        <f t="shared" si="0"/>
        <v>13200</v>
      </c>
      <c r="H35" s="2" t="str">
        <f t="shared" si="1"/>
        <v>CR</v>
      </c>
    </row>
    <row r="36" spans="1:8" ht="21" customHeight="1" x14ac:dyDescent="0.25">
      <c r="A36" s="10"/>
      <c r="B36" s="4"/>
      <c r="C36" s="4"/>
      <c r="D36" s="4" t="s">
        <v>9</v>
      </c>
      <c r="E36" s="5">
        <f>SUM(E6:E35)</f>
        <v>73600</v>
      </c>
      <c r="F36" s="5">
        <f>SUM(F6:F35)</f>
        <v>85750</v>
      </c>
      <c r="G36" s="5">
        <f>G5+F36-E36</f>
        <v>13200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printOptions horizontalCentered="1"/>
  <pageMargins left="0.7" right="0.7" top="0.75" bottom="0.75" header="0.3" footer="0.3"/>
  <pageSetup paperSize="9" scale="8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36"/>
  <sheetViews>
    <sheetView zoomScaleNormal="100" workbookViewId="0">
      <pane ySplit="4" topLeftCell="A29" activePane="bottomLeft" state="frozen"/>
      <selection pane="bottomLeft" activeCell="D24" sqref="D24"/>
    </sheetView>
  </sheetViews>
  <sheetFormatPr defaultRowHeight="15" x14ac:dyDescent="0.25"/>
  <cols>
    <col min="1" max="1" width="12.140625" style="11" bestFit="1" customWidth="1"/>
    <col min="2" max="2" width="12" bestFit="1" customWidth="1"/>
    <col min="3" max="3" width="19.5703125" bestFit="1" customWidth="1"/>
    <col min="4" max="4" width="39.140625" customWidth="1"/>
    <col min="5" max="7" width="9" style="1" bestFit="1" customWidth="1"/>
    <col min="8" max="8" width="3.85546875" customWidth="1"/>
  </cols>
  <sheetData>
    <row r="1" spans="1:8" ht="15.75" x14ac:dyDescent="0.25">
      <c r="A1" s="100" t="s">
        <v>0</v>
      </c>
      <c r="B1" s="100"/>
      <c r="C1" s="100"/>
      <c r="D1" s="100"/>
      <c r="E1" s="100"/>
      <c r="F1" s="100"/>
      <c r="G1" s="100"/>
      <c r="H1" s="100"/>
    </row>
    <row r="2" spans="1:8" ht="15.75" x14ac:dyDescent="0.25">
      <c r="A2" s="100" t="s">
        <v>12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21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6" t="s">
        <v>5</v>
      </c>
      <c r="F4" s="16" t="s">
        <v>6</v>
      </c>
      <c r="G4" s="102" t="s">
        <v>7</v>
      </c>
      <c r="H4" s="102"/>
    </row>
    <row r="5" spans="1:8" ht="21" customHeight="1" x14ac:dyDescent="0.25">
      <c r="A5" s="9"/>
      <c r="B5" s="2"/>
      <c r="C5" s="2"/>
      <c r="D5" s="2" t="s">
        <v>79</v>
      </c>
      <c r="E5" s="3"/>
      <c r="F5" s="3"/>
      <c r="G5" s="3">
        <f>'AL AZIZ-LHR-8'!G36</f>
        <v>13200</v>
      </c>
      <c r="H5" s="2"/>
    </row>
    <row r="6" spans="1:8" ht="21" customHeight="1" x14ac:dyDescent="0.25">
      <c r="A6" s="9">
        <v>44737</v>
      </c>
      <c r="B6" s="2" t="s">
        <v>10</v>
      </c>
      <c r="C6" s="2" t="s">
        <v>386</v>
      </c>
      <c r="D6" s="2" t="s">
        <v>265</v>
      </c>
      <c r="E6" s="13">
        <v>0</v>
      </c>
      <c r="F6" s="13">
        <v>4150</v>
      </c>
      <c r="G6" s="3">
        <f>G5+F6-E6</f>
        <v>17350</v>
      </c>
      <c r="H6" s="2" t="str">
        <f>IF(G6=0,"NIL",IF(G6&gt;0,"CR","DR"))</f>
        <v>CR</v>
      </c>
    </row>
    <row r="7" spans="1:8" ht="21" customHeight="1" x14ac:dyDescent="0.25">
      <c r="A7" s="9">
        <v>44737</v>
      </c>
      <c r="B7" s="2" t="s">
        <v>10</v>
      </c>
      <c r="C7" s="2" t="s">
        <v>387</v>
      </c>
      <c r="D7" s="2" t="s">
        <v>146</v>
      </c>
      <c r="E7" s="13">
        <v>0</v>
      </c>
      <c r="F7" s="13">
        <v>2450</v>
      </c>
      <c r="G7" s="3">
        <f t="shared" ref="G7:G35" si="0">G6+F7-E7</f>
        <v>19800</v>
      </c>
      <c r="H7" s="2" t="str">
        <f t="shared" ref="H7:H36" si="1">IF(G7=0,"NIL",IF(G7&gt;0,"CR","DR"))</f>
        <v>CR</v>
      </c>
    </row>
    <row r="8" spans="1:8" ht="21" customHeight="1" x14ac:dyDescent="0.25">
      <c r="A8" s="9">
        <v>44741</v>
      </c>
      <c r="B8" s="2" t="s">
        <v>33</v>
      </c>
      <c r="C8" s="2" t="s">
        <v>388</v>
      </c>
      <c r="D8" s="2" t="s">
        <v>389</v>
      </c>
      <c r="E8" s="13">
        <v>2450</v>
      </c>
      <c r="F8" s="13">
        <v>0</v>
      </c>
      <c r="G8" s="3">
        <f t="shared" si="0"/>
        <v>17350</v>
      </c>
      <c r="H8" s="2" t="str">
        <f t="shared" si="1"/>
        <v>CR</v>
      </c>
    </row>
    <row r="9" spans="1:8" ht="21" customHeight="1" x14ac:dyDescent="0.25">
      <c r="A9" s="9">
        <v>44741</v>
      </c>
      <c r="B9" s="2" t="s">
        <v>10</v>
      </c>
      <c r="C9" s="2" t="s">
        <v>391</v>
      </c>
      <c r="D9" s="2" t="s">
        <v>390</v>
      </c>
      <c r="E9" s="13"/>
      <c r="F9" s="13">
        <v>2550</v>
      </c>
      <c r="G9" s="3">
        <f t="shared" si="0"/>
        <v>19900</v>
      </c>
      <c r="H9" s="2" t="str">
        <f t="shared" si="1"/>
        <v>CR</v>
      </c>
    </row>
    <row r="10" spans="1:8" ht="21" customHeight="1" x14ac:dyDescent="0.25">
      <c r="A10" s="9">
        <v>44741</v>
      </c>
      <c r="B10" s="2" t="s">
        <v>10</v>
      </c>
      <c r="C10" s="2" t="s">
        <v>392</v>
      </c>
      <c r="D10" s="2" t="s">
        <v>239</v>
      </c>
      <c r="E10" s="13"/>
      <c r="F10" s="13">
        <v>2100</v>
      </c>
      <c r="G10" s="3">
        <f t="shared" si="0"/>
        <v>22000</v>
      </c>
      <c r="H10" s="2" t="str">
        <f t="shared" si="1"/>
        <v>CR</v>
      </c>
    </row>
    <row r="11" spans="1:8" ht="21" customHeight="1" x14ac:dyDescent="0.25">
      <c r="A11" s="9">
        <v>44658</v>
      </c>
      <c r="B11" s="2" t="s">
        <v>10</v>
      </c>
      <c r="C11" s="2" t="s">
        <v>393</v>
      </c>
      <c r="D11" s="2" t="s">
        <v>394</v>
      </c>
      <c r="E11" s="13"/>
      <c r="F11" s="13">
        <v>1300</v>
      </c>
      <c r="G11" s="3">
        <f t="shared" si="0"/>
        <v>23300</v>
      </c>
      <c r="H11" s="2" t="str">
        <f t="shared" si="1"/>
        <v>CR</v>
      </c>
    </row>
    <row r="12" spans="1:8" ht="21" customHeight="1" x14ac:dyDescent="0.25">
      <c r="A12" s="9">
        <v>44749</v>
      </c>
      <c r="B12" s="2" t="s">
        <v>8</v>
      </c>
      <c r="C12" s="2" t="s">
        <v>365</v>
      </c>
      <c r="D12" s="2" t="s">
        <v>366</v>
      </c>
      <c r="E12" s="13">
        <v>23300</v>
      </c>
      <c r="F12" s="13">
        <v>0</v>
      </c>
      <c r="G12" s="3">
        <f t="shared" si="0"/>
        <v>0</v>
      </c>
      <c r="H12" s="2" t="str">
        <f t="shared" si="1"/>
        <v>NIL</v>
      </c>
    </row>
    <row r="13" spans="1:8" ht="21" customHeight="1" x14ac:dyDescent="0.25">
      <c r="A13" s="9">
        <v>44763</v>
      </c>
      <c r="B13" s="2" t="s">
        <v>10</v>
      </c>
      <c r="C13" s="2" t="s">
        <v>395</v>
      </c>
      <c r="D13" s="2" t="s">
        <v>396</v>
      </c>
      <c r="E13" s="13"/>
      <c r="F13" s="13">
        <v>3650</v>
      </c>
      <c r="G13" s="3">
        <f t="shared" si="0"/>
        <v>3650</v>
      </c>
      <c r="H13" s="2" t="str">
        <f t="shared" si="1"/>
        <v>CR</v>
      </c>
    </row>
    <row r="14" spans="1:8" ht="21" customHeight="1" x14ac:dyDescent="0.25">
      <c r="A14" s="9">
        <v>44765</v>
      </c>
      <c r="B14" s="2" t="s">
        <v>10</v>
      </c>
      <c r="C14" s="12" t="s">
        <v>397</v>
      </c>
      <c r="D14" s="12" t="s">
        <v>398</v>
      </c>
      <c r="E14" s="13"/>
      <c r="F14" s="13">
        <v>1350</v>
      </c>
      <c r="G14" s="3">
        <f t="shared" si="0"/>
        <v>5000</v>
      </c>
      <c r="H14" s="2" t="str">
        <f t="shared" si="1"/>
        <v>CR</v>
      </c>
    </row>
    <row r="15" spans="1:8" ht="21" customHeight="1" x14ac:dyDescent="0.25">
      <c r="A15" s="9">
        <v>44767</v>
      </c>
      <c r="B15" s="2" t="s">
        <v>10</v>
      </c>
      <c r="C15" s="12" t="s">
        <v>401</v>
      </c>
      <c r="D15" s="2" t="s">
        <v>399</v>
      </c>
      <c r="E15" s="13"/>
      <c r="F15" s="13">
        <v>800</v>
      </c>
      <c r="G15" s="3">
        <f t="shared" si="0"/>
        <v>5800</v>
      </c>
      <c r="H15" s="2" t="str">
        <f t="shared" si="1"/>
        <v>CR</v>
      </c>
    </row>
    <row r="16" spans="1:8" ht="21" customHeight="1" x14ac:dyDescent="0.25">
      <c r="A16" s="9">
        <v>44767</v>
      </c>
      <c r="B16" s="2" t="s">
        <v>10</v>
      </c>
      <c r="C16" s="2" t="s">
        <v>400</v>
      </c>
      <c r="D16" s="2" t="s">
        <v>241</v>
      </c>
      <c r="E16" s="13"/>
      <c r="F16" s="13">
        <v>1350</v>
      </c>
      <c r="G16" s="3">
        <f t="shared" si="0"/>
        <v>7150</v>
      </c>
      <c r="H16" s="2" t="str">
        <f t="shared" si="1"/>
        <v>CR</v>
      </c>
    </row>
    <row r="17" spans="1:8" ht="21" customHeight="1" x14ac:dyDescent="0.25">
      <c r="A17" s="9">
        <v>44769</v>
      </c>
      <c r="B17" s="2" t="s">
        <v>10</v>
      </c>
      <c r="C17" s="2" t="s">
        <v>402</v>
      </c>
      <c r="D17" s="2" t="s">
        <v>403</v>
      </c>
      <c r="E17" s="13"/>
      <c r="F17" s="13">
        <v>2800</v>
      </c>
      <c r="G17" s="3">
        <f t="shared" si="0"/>
        <v>9950</v>
      </c>
      <c r="H17" s="2" t="str">
        <f t="shared" si="1"/>
        <v>CR</v>
      </c>
    </row>
    <row r="18" spans="1:8" ht="21" customHeight="1" x14ac:dyDescent="0.25">
      <c r="A18" s="9">
        <v>44776</v>
      </c>
      <c r="B18" s="2" t="s">
        <v>10</v>
      </c>
      <c r="C18" s="2" t="s">
        <v>404</v>
      </c>
      <c r="D18" s="2" t="s">
        <v>405</v>
      </c>
      <c r="E18" s="13"/>
      <c r="F18" s="13">
        <v>3750</v>
      </c>
      <c r="G18" s="3">
        <f t="shared" si="0"/>
        <v>13700</v>
      </c>
      <c r="H18" s="2" t="str">
        <f t="shared" si="1"/>
        <v>CR</v>
      </c>
    </row>
    <row r="19" spans="1:8" ht="21" customHeight="1" x14ac:dyDescent="0.25">
      <c r="A19" s="9">
        <v>44777</v>
      </c>
      <c r="B19" s="2" t="s">
        <v>8</v>
      </c>
      <c r="C19" s="2" t="s">
        <v>365</v>
      </c>
      <c r="D19" s="2" t="s">
        <v>366</v>
      </c>
      <c r="E19" s="13">
        <v>13700</v>
      </c>
      <c r="F19" s="13"/>
      <c r="G19" s="3">
        <f t="shared" si="0"/>
        <v>0</v>
      </c>
      <c r="H19" s="2" t="str">
        <f t="shared" si="1"/>
        <v>NIL</v>
      </c>
    </row>
    <row r="20" spans="1:8" ht="21" customHeight="1" x14ac:dyDescent="0.25">
      <c r="A20" s="9">
        <v>44783</v>
      </c>
      <c r="B20" s="2" t="s">
        <v>10</v>
      </c>
      <c r="C20" s="2" t="s">
        <v>406</v>
      </c>
      <c r="D20" s="2" t="s">
        <v>330</v>
      </c>
      <c r="E20" s="13">
        <v>0</v>
      </c>
      <c r="F20" s="13">
        <v>3500</v>
      </c>
      <c r="G20" s="3">
        <f t="shared" si="0"/>
        <v>3500</v>
      </c>
      <c r="H20" s="2" t="str">
        <f t="shared" si="1"/>
        <v>CR</v>
      </c>
    </row>
    <row r="21" spans="1:8" ht="21" customHeight="1" x14ac:dyDescent="0.25">
      <c r="A21" s="9">
        <v>44791</v>
      </c>
      <c r="B21" s="2" t="s">
        <v>10</v>
      </c>
      <c r="C21" s="12" t="s">
        <v>407</v>
      </c>
      <c r="D21" s="2" t="s">
        <v>408</v>
      </c>
      <c r="E21" s="13"/>
      <c r="F21" s="13">
        <v>2150</v>
      </c>
      <c r="G21" s="3">
        <f t="shared" si="0"/>
        <v>5650</v>
      </c>
      <c r="H21" s="2" t="str">
        <f t="shared" si="1"/>
        <v>CR</v>
      </c>
    </row>
    <row r="22" spans="1:8" ht="21" customHeight="1" x14ac:dyDescent="0.25">
      <c r="A22" s="9">
        <v>44793</v>
      </c>
      <c r="B22" s="2" t="s">
        <v>10</v>
      </c>
      <c r="C22" s="12" t="s">
        <v>409</v>
      </c>
      <c r="D22" s="2" t="s">
        <v>410</v>
      </c>
      <c r="E22" s="13"/>
      <c r="F22" s="13">
        <v>2150</v>
      </c>
      <c r="G22" s="3">
        <f t="shared" si="0"/>
        <v>7800</v>
      </c>
      <c r="H22" s="2" t="str">
        <f t="shared" si="1"/>
        <v>CR</v>
      </c>
    </row>
    <row r="23" spans="1:8" ht="21" customHeight="1" x14ac:dyDescent="0.25">
      <c r="A23" s="9">
        <v>44794</v>
      </c>
      <c r="B23" s="2" t="s">
        <v>8</v>
      </c>
      <c r="C23" s="2" t="s">
        <v>8</v>
      </c>
      <c r="D23" s="2" t="s">
        <v>366</v>
      </c>
      <c r="E23" s="13">
        <v>7800</v>
      </c>
      <c r="F23" s="13">
        <v>0</v>
      </c>
      <c r="G23" s="3">
        <f t="shared" si="0"/>
        <v>0</v>
      </c>
      <c r="H23" s="2" t="str">
        <f t="shared" si="1"/>
        <v>NIL</v>
      </c>
    </row>
    <row r="24" spans="1:8" ht="21" customHeight="1" x14ac:dyDescent="0.25">
      <c r="A24" s="9">
        <v>44798</v>
      </c>
      <c r="B24" s="2" t="s">
        <v>10</v>
      </c>
      <c r="C24" s="12" t="s">
        <v>411</v>
      </c>
      <c r="D24" s="2" t="s">
        <v>412</v>
      </c>
      <c r="E24" s="13"/>
      <c r="F24" s="13">
        <v>6400</v>
      </c>
      <c r="G24" s="3">
        <f t="shared" si="0"/>
        <v>6400</v>
      </c>
      <c r="H24" s="2" t="str">
        <f t="shared" si="1"/>
        <v>CR</v>
      </c>
    </row>
    <row r="25" spans="1:8" ht="21" customHeight="1" x14ac:dyDescent="0.25">
      <c r="A25" s="9">
        <v>44800</v>
      </c>
      <c r="B25" s="2" t="s">
        <v>10</v>
      </c>
      <c r="C25" s="12" t="s">
        <v>414</v>
      </c>
      <c r="D25" s="2" t="s">
        <v>176</v>
      </c>
      <c r="E25" s="13">
        <v>0</v>
      </c>
      <c r="F25" s="13">
        <v>2800</v>
      </c>
      <c r="G25" s="3">
        <f t="shared" si="0"/>
        <v>9200</v>
      </c>
      <c r="H25" s="2" t="str">
        <f t="shared" si="1"/>
        <v>CR</v>
      </c>
    </row>
    <row r="26" spans="1:8" ht="21" customHeight="1" x14ac:dyDescent="0.25">
      <c r="A26" s="9">
        <v>44801</v>
      </c>
      <c r="B26" s="2" t="s">
        <v>8</v>
      </c>
      <c r="C26" s="2" t="s">
        <v>8</v>
      </c>
      <c r="D26" s="2" t="s">
        <v>366</v>
      </c>
      <c r="E26" s="13">
        <v>9200</v>
      </c>
      <c r="F26" s="13"/>
      <c r="G26" s="3">
        <f t="shared" si="0"/>
        <v>0</v>
      </c>
      <c r="H26" s="2" t="str">
        <f t="shared" si="1"/>
        <v>NIL</v>
      </c>
    </row>
    <row r="27" spans="1:8" ht="21" customHeight="1" x14ac:dyDescent="0.25">
      <c r="A27" s="9">
        <v>44805</v>
      </c>
      <c r="B27" s="2" t="s">
        <v>10</v>
      </c>
      <c r="C27" s="2" t="s">
        <v>415</v>
      </c>
      <c r="D27" s="2" t="s">
        <v>416</v>
      </c>
      <c r="E27" s="13">
        <v>0</v>
      </c>
      <c r="F27" s="13">
        <v>5200</v>
      </c>
      <c r="G27" s="3">
        <f t="shared" si="0"/>
        <v>5200</v>
      </c>
      <c r="H27" s="2" t="str">
        <f t="shared" si="1"/>
        <v>CR</v>
      </c>
    </row>
    <row r="28" spans="1:8" ht="21" customHeight="1" x14ac:dyDescent="0.25">
      <c r="A28" s="9">
        <v>44813</v>
      </c>
      <c r="B28" s="2" t="s">
        <v>10</v>
      </c>
      <c r="C28" s="2" t="s">
        <v>417</v>
      </c>
      <c r="D28" s="2" t="s">
        <v>418</v>
      </c>
      <c r="E28" s="13">
        <v>0</v>
      </c>
      <c r="F28" s="13">
        <v>6200</v>
      </c>
      <c r="G28" s="3">
        <f t="shared" si="0"/>
        <v>11400</v>
      </c>
      <c r="H28" s="2" t="str">
        <f t="shared" si="1"/>
        <v>CR</v>
      </c>
    </row>
    <row r="29" spans="1:8" ht="21" customHeight="1" x14ac:dyDescent="0.25">
      <c r="A29" s="9">
        <v>44816</v>
      </c>
      <c r="B29" s="2" t="s">
        <v>10</v>
      </c>
      <c r="C29" s="28" t="s">
        <v>421</v>
      </c>
      <c r="D29" s="28" t="s">
        <v>422</v>
      </c>
      <c r="E29" s="13">
        <v>0</v>
      </c>
      <c r="F29" s="13">
        <v>3500</v>
      </c>
      <c r="G29" s="3">
        <f>G28+F29-E29</f>
        <v>14900</v>
      </c>
      <c r="H29" s="2" t="str">
        <f t="shared" si="1"/>
        <v>CR</v>
      </c>
    </row>
    <row r="30" spans="1:8" ht="21" customHeight="1" x14ac:dyDescent="0.25">
      <c r="A30" s="9">
        <v>44816</v>
      </c>
      <c r="B30" s="2" t="s">
        <v>10</v>
      </c>
      <c r="C30" s="2" t="s">
        <v>419</v>
      </c>
      <c r="D30" s="2" t="s">
        <v>420</v>
      </c>
      <c r="E30" s="13">
        <v>0</v>
      </c>
      <c r="F30" s="13">
        <v>4500</v>
      </c>
      <c r="G30" s="3">
        <f>G29+F30-E30</f>
        <v>19400</v>
      </c>
      <c r="H30" s="2" t="str">
        <f t="shared" si="1"/>
        <v>CR</v>
      </c>
    </row>
    <row r="31" spans="1:8" ht="21" customHeight="1" x14ac:dyDescent="0.25">
      <c r="A31" s="9">
        <v>44818</v>
      </c>
      <c r="B31" s="2" t="s">
        <v>10</v>
      </c>
      <c r="C31" s="2" t="s">
        <v>423</v>
      </c>
      <c r="D31" s="2" t="s">
        <v>426</v>
      </c>
      <c r="E31" s="13">
        <v>0</v>
      </c>
      <c r="F31" s="13">
        <v>2750</v>
      </c>
      <c r="G31" s="3">
        <f t="shared" si="0"/>
        <v>22150</v>
      </c>
      <c r="H31" s="2" t="str">
        <f t="shared" si="1"/>
        <v>CR</v>
      </c>
    </row>
    <row r="32" spans="1:8" ht="21" customHeight="1" x14ac:dyDescent="0.25">
      <c r="A32" s="9">
        <v>44821</v>
      </c>
      <c r="B32" s="2" t="s">
        <v>10</v>
      </c>
      <c r="C32" s="2" t="s">
        <v>424</v>
      </c>
      <c r="D32" s="2" t="s">
        <v>254</v>
      </c>
      <c r="E32" s="13"/>
      <c r="F32" s="13">
        <v>2750</v>
      </c>
      <c r="G32" s="3">
        <f t="shared" si="0"/>
        <v>24900</v>
      </c>
      <c r="H32" s="2" t="str">
        <f t="shared" si="1"/>
        <v>CR</v>
      </c>
    </row>
    <row r="33" spans="1:8" ht="21" customHeight="1" x14ac:dyDescent="0.25">
      <c r="A33" s="9">
        <v>44820</v>
      </c>
      <c r="B33" s="2" t="s">
        <v>10</v>
      </c>
      <c r="C33" s="2" t="s">
        <v>425</v>
      </c>
      <c r="D33" s="2" t="s">
        <v>146</v>
      </c>
      <c r="E33" s="13"/>
      <c r="F33" s="13">
        <v>2800</v>
      </c>
      <c r="G33" s="3">
        <f t="shared" si="0"/>
        <v>27700</v>
      </c>
      <c r="H33" s="2" t="str">
        <f t="shared" si="1"/>
        <v>CR</v>
      </c>
    </row>
    <row r="34" spans="1:8" ht="21" customHeight="1" x14ac:dyDescent="0.25">
      <c r="A34" s="9">
        <v>44818</v>
      </c>
      <c r="B34" s="2" t="s">
        <v>10</v>
      </c>
      <c r="C34" s="2" t="s">
        <v>428</v>
      </c>
      <c r="D34" s="2" t="s">
        <v>146</v>
      </c>
      <c r="E34" s="13"/>
      <c r="F34" s="13">
        <v>2800</v>
      </c>
      <c r="G34" s="3">
        <f t="shared" si="0"/>
        <v>30500</v>
      </c>
      <c r="H34" s="2" t="str">
        <f t="shared" si="1"/>
        <v>CR</v>
      </c>
    </row>
    <row r="35" spans="1:8" ht="21" customHeight="1" x14ac:dyDescent="0.25">
      <c r="A35" s="9">
        <v>44823</v>
      </c>
      <c r="B35" s="2" t="s">
        <v>10</v>
      </c>
      <c r="C35" s="2" t="s">
        <v>427</v>
      </c>
      <c r="D35" s="2" t="s">
        <v>276</v>
      </c>
      <c r="E35" s="13"/>
      <c r="F35" s="13">
        <v>2800</v>
      </c>
      <c r="G35" s="3">
        <f t="shared" si="0"/>
        <v>33300</v>
      </c>
      <c r="H35" s="2" t="str">
        <f t="shared" si="1"/>
        <v>CR</v>
      </c>
    </row>
    <row r="36" spans="1:8" ht="21" customHeight="1" x14ac:dyDescent="0.25">
      <c r="A36" s="10"/>
      <c r="B36" s="4"/>
      <c r="C36" s="4"/>
      <c r="D36" s="4" t="s">
        <v>9</v>
      </c>
      <c r="E36" s="5">
        <f>SUM(E6:E35)</f>
        <v>56450</v>
      </c>
      <c r="F36" s="5">
        <f>SUM(F6:F35)</f>
        <v>76550</v>
      </c>
      <c r="G36" s="5">
        <f>G5+F36-E36</f>
        <v>33300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printOptions horizontalCentered="1"/>
  <pageMargins left="0.7" right="0.7" top="0.75" bottom="0.75" header="0.3" footer="0.3"/>
  <pageSetup paperSize="9" scale="8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36"/>
  <sheetViews>
    <sheetView zoomScaleNormal="100" workbookViewId="0">
      <pane ySplit="4" topLeftCell="A5" activePane="bottomLeft" state="frozen"/>
      <selection pane="bottomLeft" activeCell="C24" sqref="C24"/>
    </sheetView>
  </sheetViews>
  <sheetFormatPr defaultRowHeight="15" x14ac:dyDescent="0.25"/>
  <cols>
    <col min="1" max="1" width="12.140625" style="11" bestFit="1" customWidth="1"/>
    <col min="2" max="2" width="12" bestFit="1" customWidth="1"/>
    <col min="3" max="3" width="19.5703125" bestFit="1" customWidth="1"/>
    <col min="4" max="4" width="39.140625" customWidth="1"/>
    <col min="5" max="6" width="9" style="1" bestFit="1" customWidth="1"/>
    <col min="7" max="7" width="9.85546875" style="1" customWidth="1"/>
    <col min="8" max="8" width="4.140625" customWidth="1"/>
  </cols>
  <sheetData>
    <row r="1" spans="1:8" ht="15.75" x14ac:dyDescent="0.25">
      <c r="A1" s="100" t="s">
        <v>0</v>
      </c>
      <c r="B1" s="100"/>
      <c r="C1" s="100"/>
      <c r="D1" s="100"/>
      <c r="E1" s="100"/>
      <c r="F1" s="100"/>
      <c r="G1" s="100"/>
      <c r="H1" s="100"/>
    </row>
    <row r="2" spans="1:8" ht="15.75" x14ac:dyDescent="0.25">
      <c r="A2" s="100" t="s">
        <v>12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21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6" t="s">
        <v>5</v>
      </c>
      <c r="F4" s="16" t="s">
        <v>6</v>
      </c>
      <c r="G4" s="102" t="s">
        <v>7</v>
      </c>
      <c r="H4" s="102"/>
    </row>
    <row r="5" spans="1:8" ht="21" customHeight="1" x14ac:dyDescent="0.25">
      <c r="A5" s="9"/>
      <c r="B5" s="2"/>
      <c r="C5" s="2"/>
      <c r="D5" s="2" t="s">
        <v>79</v>
      </c>
      <c r="E5" s="3"/>
      <c r="F5" s="3"/>
      <c r="G5" s="3">
        <f>'AL AZIZ-LHR-9'!G36</f>
        <v>33300</v>
      </c>
      <c r="H5" s="2"/>
    </row>
    <row r="6" spans="1:8" ht="21" customHeight="1" x14ac:dyDescent="0.25">
      <c r="A6" s="9">
        <v>44823</v>
      </c>
      <c r="B6" s="2" t="s">
        <v>10</v>
      </c>
      <c r="C6" s="2" t="s">
        <v>430</v>
      </c>
      <c r="D6" s="2" t="s">
        <v>429</v>
      </c>
      <c r="E6" s="13"/>
      <c r="F6" s="13">
        <v>7700</v>
      </c>
      <c r="G6" s="3">
        <f>G5+F6-E6</f>
        <v>41000</v>
      </c>
      <c r="H6" s="2" t="str">
        <f>IF(G6=0,"NIL",IF(G6&gt;0,"CR","DR"))</f>
        <v>CR</v>
      </c>
    </row>
    <row r="7" spans="1:8" ht="21" customHeight="1" x14ac:dyDescent="0.25">
      <c r="A7" s="9">
        <v>44826</v>
      </c>
      <c r="B7" s="2" t="s">
        <v>8</v>
      </c>
      <c r="C7" s="2" t="s">
        <v>431</v>
      </c>
      <c r="D7" s="2" t="s">
        <v>432</v>
      </c>
      <c r="E7" s="13">
        <v>41000</v>
      </c>
      <c r="F7" s="13">
        <v>0</v>
      </c>
      <c r="G7" s="3">
        <f t="shared" ref="G7:G35" si="0">G6+F7-E7</f>
        <v>0</v>
      </c>
      <c r="H7" s="2" t="str">
        <f t="shared" ref="H7:H36" si="1">IF(G7=0,"NIL",IF(G7&gt;0,"CR","DR"))</f>
        <v>NIL</v>
      </c>
    </row>
    <row r="8" spans="1:8" ht="21" customHeight="1" x14ac:dyDescent="0.25">
      <c r="A8" s="9">
        <v>44752</v>
      </c>
      <c r="B8" s="2" t="s">
        <v>10</v>
      </c>
      <c r="C8" s="2" t="s">
        <v>433</v>
      </c>
      <c r="D8" s="2" t="s">
        <v>434</v>
      </c>
      <c r="E8" s="13"/>
      <c r="F8" s="13">
        <v>1350</v>
      </c>
      <c r="G8" s="3">
        <f t="shared" si="0"/>
        <v>1350</v>
      </c>
      <c r="H8" s="2" t="str">
        <f t="shared" si="1"/>
        <v>CR</v>
      </c>
    </row>
    <row r="9" spans="1:8" ht="21" customHeight="1" x14ac:dyDescent="0.25">
      <c r="A9" s="9">
        <v>44845</v>
      </c>
      <c r="B9" s="2" t="s">
        <v>10</v>
      </c>
      <c r="C9" s="2" t="s">
        <v>435</v>
      </c>
      <c r="D9" s="2" t="s">
        <v>436</v>
      </c>
      <c r="E9" s="13"/>
      <c r="F9" s="13">
        <v>4300</v>
      </c>
      <c r="G9" s="3">
        <f t="shared" si="0"/>
        <v>5650</v>
      </c>
      <c r="H9" s="2" t="str">
        <f t="shared" si="1"/>
        <v>CR</v>
      </c>
    </row>
    <row r="10" spans="1:8" ht="21" customHeight="1" x14ac:dyDescent="0.25">
      <c r="A10" s="9">
        <v>44847</v>
      </c>
      <c r="B10" s="2" t="s">
        <v>10</v>
      </c>
      <c r="C10" s="2" t="s">
        <v>437</v>
      </c>
      <c r="D10" s="2" t="s">
        <v>438</v>
      </c>
      <c r="E10" s="13"/>
      <c r="F10" s="13">
        <v>5850</v>
      </c>
      <c r="G10" s="3">
        <f t="shared" si="0"/>
        <v>11500</v>
      </c>
      <c r="H10" s="2" t="str">
        <f t="shared" si="1"/>
        <v>CR</v>
      </c>
    </row>
    <row r="11" spans="1:8" ht="21" customHeight="1" x14ac:dyDescent="0.25">
      <c r="A11" s="9">
        <v>44849</v>
      </c>
      <c r="B11" s="2" t="s">
        <v>10</v>
      </c>
      <c r="C11" s="2" t="s">
        <v>439</v>
      </c>
      <c r="D11" s="2" t="s">
        <v>440</v>
      </c>
      <c r="E11" s="13"/>
      <c r="F11" s="13">
        <v>3500</v>
      </c>
      <c r="G11" s="3">
        <f t="shared" si="0"/>
        <v>15000</v>
      </c>
      <c r="H11" s="2" t="str">
        <f t="shared" si="1"/>
        <v>CR</v>
      </c>
    </row>
    <row r="12" spans="1:8" ht="21" customHeight="1" x14ac:dyDescent="0.25">
      <c r="A12" s="9">
        <v>44851</v>
      </c>
      <c r="B12" s="2" t="s">
        <v>8</v>
      </c>
      <c r="C12" s="2" t="s">
        <v>431</v>
      </c>
      <c r="D12" s="2" t="s">
        <v>432</v>
      </c>
      <c r="E12" s="13">
        <v>15000</v>
      </c>
      <c r="F12" s="13"/>
      <c r="G12" s="3">
        <f t="shared" si="0"/>
        <v>0</v>
      </c>
      <c r="H12" s="2" t="str">
        <f t="shared" si="1"/>
        <v>NIL</v>
      </c>
    </row>
    <row r="13" spans="1:8" ht="21" customHeight="1" x14ac:dyDescent="0.25">
      <c r="A13" s="9">
        <v>44852</v>
      </c>
      <c r="B13" s="2" t="s">
        <v>10</v>
      </c>
      <c r="C13" s="2" t="s">
        <v>442</v>
      </c>
      <c r="D13" s="2" t="s">
        <v>441</v>
      </c>
      <c r="E13" s="13"/>
      <c r="F13" s="13">
        <v>2800</v>
      </c>
      <c r="G13" s="3">
        <f t="shared" si="0"/>
        <v>2800</v>
      </c>
      <c r="H13" s="2" t="str">
        <f t="shared" si="1"/>
        <v>CR</v>
      </c>
    </row>
    <row r="14" spans="1:8" ht="21" customHeight="1" x14ac:dyDescent="0.25">
      <c r="A14" s="9">
        <v>44853</v>
      </c>
      <c r="B14" s="2" t="s">
        <v>10</v>
      </c>
      <c r="C14" s="12" t="s">
        <v>444</v>
      </c>
      <c r="D14" s="12" t="s">
        <v>443</v>
      </c>
      <c r="E14" s="13"/>
      <c r="F14" s="13">
        <v>5200</v>
      </c>
      <c r="G14" s="13">
        <f t="shared" si="0"/>
        <v>8000</v>
      </c>
      <c r="H14" s="2" t="str">
        <f t="shared" si="1"/>
        <v>CR</v>
      </c>
    </row>
    <row r="15" spans="1:8" ht="21" customHeight="1" x14ac:dyDescent="0.25">
      <c r="A15" s="9">
        <v>44853</v>
      </c>
      <c r="B15" s="2" t="s">
        <v>10</v>
      </c>
      <c r="C15" s="12" t="s">
        <v>445</v>
      </c>
      <c r="D15" s="2" t="s">
        <v>440</v>
      </c>
      <c r="E15" s="13"/>
      <c r="F15" s="13">
        <v>3500</v>
      </c>
      <c r="G15" s="3">
        <f t="shared" si="0"/>
        <v>11500</v>
      </c>
      <c r="H15" s="2" t="str">
        <f t="shared" si="1"/>
        <v>CR</v>
      </c>
    </row>
    <row r="16" spans="1:8" ht="21" customHeight="1" x14ac:dyDescent="0.25">
      <c r="A16" s="9">
        <v>44858</v>
      </c>
      <c r="B16" s="2" t="s">
        <v>10</v>
      </c>
      <c r="C16" s="2" t="s">
        <v>446</v>
      </c>
      <c r="D16" s="2" t="s">
        <v>146</v>
      </c>
      <c r="E16" s="13"/>
      <c r="F16" s="13">
        <v>2750</v>
      </c>
      <c r="G16" s="3">
        <f t="shared" si="0"/>
        <v>14250</v>
      </c>
      <c r="H16" s="2" t="str">
        <f t="shared" si="1"/>
        <v>CR</v>
      </c>
    </row>
    <row r="17" spans="1:8" ht="21" customHeight="1" x14ac:dyDescent="0.25">
      <c r="A17" s="9">
        <v>44860</v>
      </c>
      <c r="B17" s="2" t="s">
        <v>8</v>
      </c>
      <c r="C17" s="2" t="s">
        <v>431</v>
      </c>
      <c r="D17" s="2" t="s">
        <v>432</v>
      </c>
      <c r="E17" s="13">
        <v>14250</v>
      </c>
      <c r="F17" s="13"/>
      <c r="G17" s="3">
        <f t="shared" si="0"/>
        <v>0</v>
      </c>
      <c r="H17" s="2" t="str">
        <f t="shared" si="1"/>
        <v>NIL</v>
      </c>
    </row>
    <row r="18" spans="1:8" ht="21" customHeight="1" x14ac:dyDescent="0.25">
      <c r="A18" s="9">
        <v>44861</v>
      </c>
      <c r="B18" s="2" t="s">
        <v>10</v>
      </c>
      <c r="C18" s="2" t="s">
        <v>448</v>
      </c>
      <c r="D18" s="2" t="s">
        <v>447</v>
      </c>
      <c r="E18" s="13"/>
      <c r="F18" s="13">
        <v>1750</v>
      </c>
      <c r="G18" s="3">
        <f t="shared" si="0"/>
        <v>1750</v>
      </c>
      <c r="H18" s="2" t="str">
        <f t="shared" si="1"/>
        <v>CR</v>
      </c>
    </row>
    <row r="19" spans="1:8" ht="21" customHeight="1" x14ac:dyDescent="0.25">
      <c r="A19" s="9">
        <v>44875</v>
      </c>
      <c r="B19" s="2" t="s">
        <v>10</v>
      </c>
      <c r="C19" s="2" t="s">
        <v>449</v>
      </c>
      <c r="D19" s="2" t="s">
        <v>450</v>
      </c>
      <c r="E19" s="13"/>
      <c r="F19" s="13">
        <v>6000</v>
      </c>
      <c r="G19" s="3">
        <f t="shared" si="0"/>
        <v>7750</v>
      </c>
      <c r="H19" s="2" t="str">
        <f t="shared" si="1"/>
        <v>CR</v>
      </c>
    </row>
    <row r="20" spans="1:8" ht="21" customHeight="1" x14ac:dyDescent="0.25">
      <c r="A20" s="9">
        <v>44875</v>
      </c>
      <c r="B20" s="2" t="s">
        <v>10</v>
      </c>
      <c r="C20" s="2" t="s">
        <v>451</v>
      </c>
      <c r="D20" s="2" t="s">
        <v>452</v>
      </c>
      <c r="E20" s="13"/>
      <c r="F20" s="13">
        <v>3150</v>
      </c>
      <c r="G20" s="3">
        <f t="shared" si="0"/>
        <v>10900</v>
      </c>
      <c r="H20" s="2" t="str">
        <f t="shared" si="1"/>
        <v>CR</v>
      </c>
    </row>
    <row r="21" spans="1:8" ht="21" customHeight="1" x14ac:dyDescent="0.25">
      <c r="A21" s="9">
        <v>44880</v>
      </c>
      <c r="B21" s="2" t="s">
        <v>10</v>
      </c>
      <c r="C21" s="12" t="s">
        <v>453</v>
      </c>
      <c r="D21" s="2" t="s">
        <v>454</v>
      </c>
      <c r="E21" s="13"/>
      <c r="F21" s="13">
        <v>8300</v>
      </c>
      <c r="G21" s="3">
        <f t="shared" si="0"/>
        <v>19200</v>
      </c>
      <c r="H21" s="2" t="str">
        <f t="shared" si="1"/>
        <v>CR</v>
      </c>
    </row>
    <row r="22" spans="1:8" ht="21" customHeight="1" x14ac:dyDescent="0.25">
      <c r="A22" s="9">
        <v>44886</v>
      </c>
      <c r="B22" s="2" t="s">
        <v>10</v>
      </c>
      <c r="C22" s="12" t="s">
        <v>455</v>
      </c>
      <c r="D22" s="2" t="s">
        <v>456</v>
      </c>
      <c r="E22" s="13"/>
      <c r="F22" s="13">
        <v>1350</v>
      </c>
      <c r="G22" s="3">
        <f t="shared" si="0"/>
        <v>20550</v>
      </c>
      <c r="H22" s="2" t="str">
        <f t="shared" si="1"/>
        <v>CR</v>
      </c>
    </row>
    <row r="23" spans="1:8" ht="21" customHeight="1" x14ac:dyDescent="0.25">
      <c r="A23" s="9">
        <v>44900</v>
      </c>
      <c r="B23" s="2" t="s">
        <v>10</v>
      </c>
      <c r="C23" s="12" t="s">
        <v>457</v>
      </c>
      <c r="D23" s="2" t="s">
        <v>327</v>
      </c>
      <c r="E23" s="13"/>
      <c r="F23" s="13">
        <v>3150</v>
      </c>
      <c r="G23" s="3">
        <f t="shared" si="0"/>
        <v>23700</v>
      </c>
      <c r="H23" s="2" t="str">
        <f t="shared" si="1"/>
        <v>CR</v>
      </c>
    </row>
    <row r="24" spans="1:8" ht="21" customHeight="1" x14ac:dyDescent="0.25">
      <c r="A24" s="9">
        <v>44907</v>
      </c>
      <c r="B24" s="2" t="s">
        <v>8</v>
      </c>
      <c r="C24" s="2" t="s">
        <v>431</v>
      </c>
      <c r="D24" s="2" t="s">
        <v>432</v>
      </c>
      <c r="E24" s="13">
        <v>23700</v>
      </c>
      <c r="F24" s="13">
        <v>0</v>
      </c>
      <c r="G24" s="3">
        <f t="shared" si="0"/>
        <v>0</v>
      </c>
      <c r="H24" s="2" t="str">
        <f t="shared" si="1"/>
        <v>NIL</v>
      </c>
    </row>
    <row r="25" spans="1:8" ht="21" customHeight="1" x14ac:dyDescent="0.25">
      <c r="A25" s="9">
        <v>44935</v>
      </c>
      <c r="B25" s="2" t="s">
        <v>10</v>
      </c>
      <c r="C25" s="22" t="s">
        <v>458</v>
      </c>
      <c r="D25" s="2" t="s">
        <v>459</v>
      </c>
      <c r="E25" s="13">
        <v>0</v>
      </c>
      <c r="F25" s="13">
        <v>1350</v>
      </c>
      <c r="G25" s="3">
        <f t="shared" si="0"/>
        <v>1350</v>
      </c>
      <c r="H25" s="2" t="str">
        <f t="shared" si="1"/>
        <v>CR</v>
      </c>
    </row>
    <row r="26" spans="1:8" ht="21" customHeight="1" x14ac:dyDescent="0.25">
      <c r="A26" s="9">
        <v>44935</v>
      </c>
      <c r="B26" s="2" t="s">
        <v>10</v>
      </c>
      <c r="C26" s="22" t="s">
        <v>460</v>
      </c>
      <c r="D26" s="2" t="s">
        <v>94</v>
      </c>
      <c r="E26" s="13">
        <v>0</v>
      </c>
      <c r="F26" s="13">
        <v>3450</v>
      </c>
      <c r="G26" s="3">
        <f t="shared" si="0"/>
        <v>4800</v>
      </c>
      <c r="H26" s="2" t="str">
        <f t="shared" si="1"/>
        <v>CR</v>
      </c>
    </row>
    <row r="27" spans="1:8" ht="21" customHeight="1" x14ac:dyDescent="0.25">
      <c r="A27" s="9">
        <v>44939</v>
      </c>
      <c r="B27" s="2" t="s">
        <v>10</v>
      </c>
      <c r="C27" s="22" t="s">
        <v>461</v>
      </c>
      <c r="D27" s="2" t="s">
        <v>462</v>
      </c>
      <c r="E27" s="13">
        <v>0</v>
      </c>
      <c r="F27" s="13">
        <v>6650</v>
      </c>
      <c r="G27" s="3">
        <f t="shared" si="0"/>
        <v>11450</v>
      </c>
      <c r="H27" s="2" t="str">
        <f t="shared" si="1"/>
        <v>CR</v>
      </c>
    </row>
    <row r="28" spans="1:8" ht="21" customHeight="1" x14ac:dyDescent="0.25">
      <c r="A28" s="9">
        <v>44942</v>
      </c>
      <c r="B28" s="2" t="s">
        <v>10</v>
      </c>
      <c r="C28" s="20" t="s">
        <v>463</v>
      </c>
      <c r="D28" s="2" t="s">
        <v>464</v>
      </c>
      <c r="E28" s="13"/>
      <c r="F28" s="13">
        <v>6150</v>
      </c>
      <c r="G28" s="3">
        <f t="shared" si="0"/>
        <v>17600</v>
      </c>
      <c r="H28" s="2" t="str">
        <f t="shared" si="1"/>
        <v>CR</v>
      </c>
    </row>
    <row r="29" spans="1:8" ht="21" customHeight="1" x14ac:dyDescent="0.25">
      <c r="A29" s="9">
        <v>44942</v>
      </c>
      <c r="B29" s="2" t="s">
        <v>10</v>
      </c>
      <c r="C29" s="33" t="s">
        <v>465</v>
      </c>
      <c r="D29" s="28" t="s">
        <v>466</v>
      </c>
      <c r="E29" s="13"/>
      <c r="F29" s="13">
        <v>6000</v>
      </c>
      <c r="G29" s="3">
        <f>G28+F29-E29</f>
        <v>23600</v>
      </c>
      <c r="H29" s="2" t="str">
        <f t="shared" si="1"/>
        <v>CR</v>
      </c>
    </row>
    <row r="30" spans="1:8" ht="21" customHeight="1" x14ac:dyDescent="0.25">
      <c r="A30" s="9">
        <v>44946</v>
      </c>
      <c r="B30" s="2" t="s">
        <v>8</v>
      </c>
      <c r="C30" s="2" t="s">
        <v>431</v>
      </c>
      <c r="D30" s="2" t="s">
        <v>432</v>
      </c>
      <c r="E30" s="13">
        <v>23600</v>
      </c>
      <c r="F30" s="13">
        <v>0</v>
      </c>
      <c r="G30" s="3">
        <f>G29+F30-E30</f>
        <v>0</v>
      </c>
      <c r="H30" s="2" t="str">
        <f t="shared" si="1"/>
        <v>NIL</v>
      </c>
    </row>
    <row r="31" spans="1:8" ht="21" customHeight="1" x14ac:dyDescent="0.25">
      <c r="A31" s="9">
        <v>44952</v>
      </c>
      <c r="B31" s="2" t="s">
        <v>10</v>
      </c>
      <c r="C31" s="20" t="s">
        <v>467</v>
      </c>
      <c r="D31" s="2" t="s">
        <v>468</v>
      </c>
      <c r="E31" s="13"/>
      <c r="F31" s="13">
        <v>3150</v>
      </c>
      <c r="G31" s="3">
        <f t="shared" si="0"/>
        <v>3150</v>
      </c>
      <c r="H31" s="2" t="str">
        <f t="shared" si="1"/>
        <v>CR</v>
      </c>
    </row>
    <row r="32" spans="1:8" ht="21" customHeight="1" x14ac:dyDescent="0.25">
      <c r="A32" s="9">
        <v>44951</v>
      </c>
      <c r="B32" s="2" t="s">
        <v>10</v>
      </c>
      <c r="C32" s="20" t="s">
        <v>469</v>
      </c>
      <c r="D32" s="2" t="s">
        <v>470</v>
      </c>
      <c r="E32" s="13"/>
      <c r="F32" s="13">
        <v>5350</v>
      </c>
      <c r="G32" s="3">
        <f t="shared" si="0"/>
        <v>8500</v>
      </c>
      <c r="H32" s="2" t="str">
        <f t="shared" si="1"/>
        <v>CR</v>
      </c>
    </row>
    <row r="33" spans="1:8" ht="21" customHeight="1" x14ac:dyDescent="0.25">
      <c r="A33" s="9">
        <v>44959</v>
      </c>
      <c r="B33" s="2" t="s">
        <v>10</v>
      </c>
      <c r="C33" s="20" t="s">
        <v>573</v>
      </c>
      <c r="D33" s="2" t="s">
        <v>471</v>
      </c>
      <c r="E33" s="13">
        <v>0</v>
      </c>
      <c r="F33" s="13">
        <v>1550</v>
      </c>
      <c r="G33" s="3">
        <f t="shared" si="0"/>
        <v>10050</v>
      </c>
      <c r="H33" s="2" t="str">
        <f t="shared" si="1"/>
        <v>CR</v>
      </c>
    </row>
    <row r="34" spans="1:8" ht="21" customHeight="1" x14ac:dyDescent="0.25">
      <c r="A34" s="9">
        <v>44965</v>
      </c>
      <c r="B34" s="2" t="s">
        <v>10</v>
      </c>
      <c r="C34" s="20" t="s">
        <v>472</v>
      </c>
      <c r="D34" s="2" t="s">
        <v>473</v>
      </c>
      <c r="E34" s="13">
        <v>0</v>
      </c>
      <c r="F34" s="13">
        <v>4200</v>
      </c>
      <c r="G34" s="3">
        <f t="shared" si="0"/>
        <v>14250</v>
      </c>
      <c r="H34" s="2" t="str">
        <f t="shared" si="1"/>
        <v>CR</v>
      </c>
    </row>
    <row r="35" spans="1:8" ht="21" customHeight="1" x14ac:dyDescent="0.25">
      <c r="A35" s="9">
        <v>44972</v>
      </c>
      <c r="B35" s="2" t="s">
        <v>10</v>
      </c>
      <c r="C35" s="20" t="s">
        <v>474</v>
      </c>
      <c r="D35" s="2" t="s">
        <v>475</v>
      </c>
      <c r="E35" s="13"/>
      <c r="F35" s="13">
        <v>3500</v>
      </c>
      <c r="G35" s="3">
        <f t="shared" si="0"/>
        <v>17750</v>
      </c>
      <c r="H35" s="2" t="str">
        <f t="shared" si="1"/>
        <v>CR</v>
      </c>
    </row>
    <row r="36" spans="1:8" ht="21" customHeight="1" x14ac:dyDescent="0.25">
      <c r="A36" s="10"/>
      <c r="B36" s="4"/>
      <c r="C36" s="4"/>
      <c r="D36" s="4" t="s">
        <v>9</v>
      </c>
      <c r="E36" s="5">
        <f>SUM(E6:E35)</f>
        <v>117550</v>
      </c>
      <c r="F36" s="5">
        <f>SUM(F6:F35)</f>
        <v>102000</v>
      </c>
      <c r="G36" s="5">
        <f>G5+F36-E36</f>
        <v>17750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printOptions horizontalCentered="1"/>
  <pageMargins left="0.7" right="0.7" top="0.75" bottom="0.75" header="0.3" footer="0.3"/>
  <pageSetup paperSize="9" scale="8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36"/>
  <sheetViews>
    <sheetView zoomScaleNormal="100" workbookViewId="0">
      <pane ySplit="4" topLeftCell="A5" activePane="bottomLeft" state="frozen"/>
      <selection pane="bottomLeft" activeCell="C7" sqref="C7"/>
    </sheetView>
  </sheetViews>
  <sheetFormatPr defaultRowHeight="15" x14ac:dyDescent="0.25"/>
  <cols>
    <col min="1" max="1" width="12.140625" style="11" bestFit="1" customWidth="1"/>
    <col min="2" max="2" width="12" bestFit="1" customWidth="1"/>
    <col min="3" max="3" width="19.5703125" bestFit="1" customWidth="1"/>
    <col min="4" max="4" width="39.140625" customWidth="1"/>
    <col min="5" max="6" width="9" style="1" bestFit="1" customWidth="1"/>
    <col min="7" max="7" width="9.85546875" style="1" customWidth="1"/>
    <col min="8" max="8" width="4.140625" customWidth="1"/>
  </cols>
  <sheetData>
    <row r="1" spans="1:8" ht="15.75" x14ac:dyDescent="0.25">
      <c r="A1" s="100" t="s">
        <v>0</v>
      </c>
      <c r="B1" s="100"/>
      <c r="C1" s="100"/>
      <c r="D1" s="100"/>
      <c r="E1" s="100"/>
      <c r="F1" s="100"/>
      <c r="G1" s="100"/>
      <c r="H1" s="100"/>
    </row>
    <row r="2" spans="1:8" ht="15.75" x14ac:dyDescent="0.25">
      <c r="A2" s="100" t="s">
        <v>12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21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6" t="s">
        <v>5</v>
      </c>
      <c r="F4" s="16" t="s">
        <v>6</v>
      </c>
      <c r="G4" s="102" t="s">
        <v>7</v>
      </c>
      <c r="H4" s="102"/>
    </row>
    <row r="5" spans="1:8" ht="21" customHeight="1" x14ac:dyDescent="0.25">
      <c r="A5" s="9"/>
      <c r="B5" s="2"/>
      <c r="C5" s="2"/>
      <c r="D5" s="2" t="s">
        <v>79</v>
      </c>
      <c r="E5" s="3"/>
      <c r="F5" s="3"/>
      <c r="G5" s="3">
        <f>'AL AZIZ-LHR-10 '!G36</f>
        <v>17750</v>
      </c>
      <c r="H5" s="2"/>
    </row>
    <row r="6" spans="1:8" ht="21" customHeight="1" x14ac:dyDescent="0.25">
      <c r="A6" s="9">
        <v>44975</v>
      </c>
      <c r="B6" s="2" t="s">
        <v>8</v>
      </c>
      <c r="C6" s="2" t="s">
        <v>431</v>
      </c>
      <c r="D6" s="2" t="s">
        <v>432</v>
      </c>
      <c r="E6" s="13">
        <v>17750</v>
      </c>
      <c r="F6" s="13">
        <v>0</v>
      </c>
      <c r="G6" s="3">
        <f>G5+F6-E6</f>
        <v>0</v>
      </c>
      <c r="H6" s="2" t="str">
        <f>IF(G6=0,"NIL",IF(G6&gt;0,"CR","DR"))</f>
        <v>NIL</v>
      </c>
    </row>
    <row r="7" spans="1:8" ht="21" customHeight="1" x14ac:dyDescent="0.25">
      <c r="A7" s="9">
        <v>44981</v>
      </c>
      <c r="B7" s="2" t="s">
        <v>10</v>
      </c>
      <c r="C7" s="20" t="s">
        <v>476</v>
      </c>
      <c r="D7" s="2" t="s">
        <v>477</v>
      </c>
      <c r="E7" s="13">
        <v>0</v>
      </c>
      <c r="F7" s="13">
        <v>4400</v>
      </c>
      <c r="G7" s="3">
        <f t="shared" ref="G7:G35" si="0">G6+F7-E7</f>
        <v>4400</v>
      </c>
      <c r="H7" s="2" t="str">
        <f t="shared" ref="H7:H36" si="1">IF(G7=0,"NIL",IF(G7&gt;0,"CR","DR"))</f>
        <v>CR</v>
      </c>
    </row>
    <row r="8" spans="1:8" ht="21" customHeight="1" x14ac:dyDescent="0.25">
      <c r="A8" s="9">
        <v>44982</v>
      </c>
      <c r="B8" s="2" t="s">
        <v>10</v>
      </c>
      <c r="C8" s="20" t="s">
        <v>478</v>
      </c>
      <c r="D8" s="2" t="s">
        <v>479</v>
      </c>
      <c r="E8" s="13"/>
      <c r="F8" s="13">
        <v>3700</v>
      </c>
      <c r="G8" s="3">
        <f t="shared" si="0"/>
        <v>8100</v>
      </c>
      <c r="H8" s="2" t="str">
        <f t="shared" si="1"/>
        <v>CR</v>
      </c>
    </row>
    <row r="9" spans="1:8" ht="21" customHeight="1" x14ac:dyDescent="0.25">
      <c r="A9" s="9">
        <v>44929</v>
      </c>
      <c r="B9" s="2" t="s">
        <v>10</v>
      </c>
      <c r="C9" s="20" t="s">
        <v>480</v>
      </c>
      <c r="D9" s="2" t="s">
        <v>481</v>
      </c>
      <c r="E9" s="13"/>
      <c r="F9" s="13">
        <v>5300</v>
      </c>
      <c r="G9" s="3">
        <f t="shared" si="0"/>
        <v>13400</v>
      </c>
      <c r="H9" s="2" t="str">
        <f t="shared" si="1"/>
        <v>CR</v>
      </c>
    </row>
    <row r="10" spans="1:8" ht="21" customHeight="1" x14ac:dyDescent="0.25">
      <c r="A10" s="9">
        <v>44989</v>
      </c>
      <c r="B10" s="2" t="s">
        <v>10</v>
      </c>
      <c r="C10" s="20" t="s">
        <v>482</v>
      </c>
      <c r="D10" s="2" t="s">
        <v>483</v>
      </c>
      <c r="E10" s="13"/>
      <c r="F10" s="13">
        <v>5600</v>
      </c>
      <c r="G10" s="3">
        <f t="shared" si="0"/>
        <v>19000</v>
      </c>
      <c r="H10" s="2" t="str">
        <f t="shared" si="1"/>
        <v>CR</v>
      </c>
    </row>
    <row r="11" spans="1:8" ht="21" customHeight="1" x14ac:dyDescent="0.25">
      <c r="A11" s="9">
        <v>44989</v>
      </c>
      <c r="B11" s="2" t="s">
        <v>10</v>
      </c>
      <c r="C11" s="20" t="s">
        <v>484</v>
      </c>
      <c r="D11" s="2" t="s">
        <v>140</v>
      </c>
      <c r="E11" s="13"/>
      <c r="F11" s="13">
        <v>2650</v>
      </c>
      <c r="G11" s="3">
        <f t="shared" si="0"/>
        <v>21650</v>
      </c>
      <c r="H11" s="2" t="str">
        <f t="shared" si="1"/>
        <v>CR</v>
      </c>
    </row>
    <row r="12" spans="1:8" ht="21" customHeight="1" x14ac:dyDescent="0.25">
      <c r="A12" s="9">
        <v>44993</v>
      </c>
      <c r="B12" s="2" t="s">
        <v>8</v>
      </c>
      <c r="C12" s="2" t="s">
        <v>431</v>
      </c>
      <c r="D12" s="2" t="s">
        <v>485</v>
      </c>
      <c r="E12" s="13">
        <v>21650</v>
      </c>
      <c r="F12" s="13"/>
      <c r="G12" s="3">
        <f t="shared" si="0"/>
        <v>0</v>
      </c>
      <c r="H12" s="2" t="str">
        <f t="shared" si="1"/>
        <v>NIL</v>
      </c>
    </row>
    <row r="13" spans="1:8" ht="21" customHeight="1" x14ac:dyDescent="0.25">
      <c r="A13" s="9">
        <v>44996</v>
      </c>
      <c r="B13" s="2" t="s">
        <v>10</v>
      </c>
      <c r="C13" s="20" t="s">
        <v>486</v>
      </c>
      <c r="D13" s="2" t="s">
        <v>488</v>
      </c>
      <c r="E13" s="13">
        <v>0</v>
      </c>
      <c r="F13" s="13">
        <v>1800</v>
      </c>
      <c r="G13" s="3">
        <f t="shared" si="0"/>
        <v>1800</v>
      </c>
      <c r="H13" s="2" t="str">
        <f t="shared" si="1"/>
        <v>CR</v>
      </c>
    </row>
    <row r="14" spans="1:8" ht="21" customHeight="1" x14ac:dyDescent="0.25">
      <c r="A14" s="9">
        <v>44996</v>
      </c>
      <c r="B14" s="2" t="s">
        <v>10</v>
      </c>
      <c r="C14" s="20" t="s">
        <v>487</v>
      </c>
      <c r="D14" s="12" t="s">
        <v>489</v>
      </c>
      <c r="E14" s="13">
        <v>0</v>
      </c>
      <c r="F14" s="13">
        <v>700</v>
      </c>
      <c r="G14" s="13">
        <f t="shared" si="0"/>
        <v>2500</v>
      </c>
      <c r="H14" s="2" t="str">
        <f t="shared" si="1"/>
        <v>CR</v>
      </c>
    </row>
    <row r="15" spans="1:8" ht="21" customHeight="1" x14ac:dyDescent="0.25">
      <c r="A15" s="9">
        <v>44998</v>
      </c>
      <c r="B15" s="2" t="s">
        <v>10</v>
      </c>
      <c r="C15" s="20" t="s">
        <v>490</v>
      </c>
      <c r="D15" s="2" t="s">
        <v>491</v>
      </c>
      <c r="E15" s="13">
        <v>0</v>
      </c>
      <c r="F15" s="13">
        <v>5200</v>
      </c>
      <c r="G15" s="3">
        <f t="shared" si="0"/>
        <v>7700</v>
      </c>
      <c r="H15" s="2" t="str">
        <f t="shared" si="1"/>
        <v>CR</v>
      </c>
    </row>
    <row r="16" spans="1:8" ht="21" customHeight="1" x14ac:dyDescent="0.25">
      <c r="A16" s="9">
        <v>44999</v>
      </c>
      <c r="B16" s="2" t="s">
        <v>10</v>
      </c>
      <c r="C16" s="20" t="s">
        <v>492</v>
      </c>
      <c r="D16" s="2" t="s">
        <v>488</v>
      </c>
      <c r="E16" s="13">
        <v>0</v>
      </c>
      <c r="F16" s="13">
        <v>1750</v>
      </c>
      <c r="G16" s="3">
        <f t="shared" si="0"/>
        <v>9450</v>
      </c>
      <c r="H16" s="2" t="str">
        <f t="shared" si="1"/>
        <v>CR</v>
      </c>
    </row>
    <row r="17" spans="1:8" ht="21" customHeight="1" x14ac:dyDescent="0.25">
      <c r="A17" s="9">
        <v>45000</v>
      </c>
      <c r="B17" s="2" t="s">
        <v>8</v>
      </c>
      <c r="C17" s="2" t="s">
        <v>431</v>
      </c>
      <c r="D17" s="2" t="s">
        <v>493</v>
      </c>
      <c r="E17" s="13">
        <v>9450</v>
      </c>
      <c r="F17" s="13">
        <v>0</v>
      </c>
      <c r="G17" s="3">
        <f t="shared" si="0"/>
        <v>0</v>
      </c>
      <c r="H17" s="2" t="str">
        <f t="shared" si="1"/>
        <v>NIL</v>
      </c>
    </row>
    <row r="18" spans="1:8" ht="21" customHeight="1" x14ac:dyDescent="0.25">
      <c r="A18" s="9">
        <v>45000</v>
      </c>
      <c r="B18" s="2" t="s">
        <v>10</v>
      </c>
      <c r="C18" s="20" t="s">
        <v>494</v>
      </c>
      <c r="D18" s="2" t="s">
        <v>251</v>
      </c>
      <c r="E18" s="13"/>
      <c r="F18" s="13">
        <v>3700</v>
      </c>
      <c r="G18" s="3">
        <f t="shared" si="0"/>
        <v>3700</v>
      </c>
      <c r="H18" s="2" t="str">
        <f t="shared" si="1"/>
        <v>CR</v>
      </c>
    </row>
    <row r="19" spans="1:8" ht="21" customHeight="1" x14ac:dyDescent="0.25">
      <c r="A19" s="9">
        <v>45005</v>
      </c>
      <c r="B19" s="2" t="s">
        <v>8</v>
      </c>
      <c r="C19" s="2" t="s">
        <v>431</v>
      </c>
      <c r="D19" s="2" t="s">
        <v>493</v>
      </c>
      <c r="E19" s="13">
        <v>3700</v>
      </c>
      <c r="F19" s="13"/>
      <c r="G19" s="3">
        <f t="shared" si="0"/>
        <v>0</v>
      </c>
      <c r="H19" s="2" t="str">
        <f t="shared" si="1"/>
        <v>NIL</v>
      </c>
    </row>
    <row r="20" spans="1:8" ht="21" customHeight="1" x14ac:dyDescent="0.25">
      <c r="A20" s="9">
        <v>45014</v>
      </c>
      <c r="B20" s="2" t="s">
        <v>10</v>
      </c>
      <c r="C20" s="20" t="s">
        <v>495</v>
      </c>
      <c r="D20" s="2" t="s">
        <v>496</v>
      </c>
      <c r="E20" s="13"/>
      <c r="F20" s="13">
        <v>3700</v>
      </c>
      <c r="G20" s="3">
        <f t="shared" si="0"/>
        <v>3700</v>
      </c>
      <c r="H20" s="2" t="str">
        <f t="shared" si="1"/>
        <v>CR</v>
      </c>
    </row>
    <row r="21" spans="1:8" ht="21" customHeight="1" x14ac:dyDescent="0.25">
      <c r="A21" s="9">
        <v>45029</v>
      </c>
      <c r="B21" s="2" t="s">
        <v>8</v>
      </c>
      <c r="C21" s="12" t="s">
        <v>431</v>
      </c>
      <c r="D21" s="2" t="s">
        <v>497</v>
      </c>
      <c r="E21" s="13">
        <v>3700</v>
      </c>
      <c r="F21" s="13">
        <v>0</v>
      </c>
      <c r="G21" s="3">
        <f t="shared" si="0"/>
        <v>0</v>
      </c>
      <c r="H21" s="2" t="str">
        <f t="shared" si="1"/>
        <v>NIL</v>
      </c>
    </row>
    <row r="22" spans="1:8" ht="21" customHeight="1" x14ac:dyDescent="0.25">
      <c r="A22" s="9">
        <v>45063</v>
      </c>
      <c r="B22" s="2" t="s">
        <v>10</v>
      </c>
      <c r="C22" s="22" t="s">
        <v>498</v>
      </c>
      <c r="D22" s="2" t="s">
        <v>499</v>
      </c>
      <c r="E22" s="13">
        <v>0</v>
      </c>
      <c r="F22" s="13">
        <v>1750</v>
      </c>
      <c r="G22" s="3">
        <f t="shared" si="0"/>
        <v>1750</v>
      </c>
      <c r="H22" s="2" t="str">
        <f t="shared" si="1"/>
        <v>CR</v>
      </c>
    </row>
    <row r="23" spans="1:8" ht="21" customHeight="1" x14ac:dyDescent="0.25">
      <c r="A23" s="9">
        <v>45075</v>
      </c>
      <c r="B23" s="2" t="s">
        <v>10</v>
      </c>
      <c r="C23" s="22" t="s">
        <v>500</v>
      </c>
      <c r="D23" s="2" t="s">
        <v>501</v>
      </c>
      <c r="E23" s="13"/>
      <c r="F23" s="13">
        <v>5700</v>
      </c>
      <c r="G23" s="3">
        <f t="shared" si="0"/>
        <v>7450</v>
      </c>
      <c r="H23" s="2" t="str">
        <f t="shared" si="1"/>
        <v>CR</v>
      </c>
    </row>
    <row r="24" spans="1:8" ht="21" customHeight="1" x14ac:dyDescent="0.25">
      <c r="A24" s="9">
        <v>45083</v>
      </c>
      <c r="B24" s="2" t="s">
        <v>8</v>
      </c>
      <c r="C24" s="2" t="s">
        <v>431</v>
      </c>
      <c r="D24" s="2" t="s">
        <v>502</v>
      </c>
      <c r="E24" s="13">
        <v>7450</v>
      </c>
      <c r="F24" s="13"/>
      <c r="G24" s="3">
        <f t="shared" si="0"/>
        <v>0</v>
      </c>
      <c r="H24" s="2" t="str">
        <f t="shared" si="1"/>
        <v>NIL</v>
      </c>
    </row>
    <row r="25" spans="1:8" ht="21" customHeight="1" x14ac:dyDescent="0.25">
      <c r="A25" s="9">
        <v>45090</v>
      </c>
      <c r="B25" s="2" t="s">
        <v>10</v>
      </c>
      <c r="C25" s="22" t="s">
        <v>503</v>
      </c>
      <c r="D25" s="2" t="s">
        <v>504</v>
      </c>
      <c r="E25" s="13">
        <v>0</v>
      </c>
      <c r="F25" s="13">
        <v>10300</v>
      </c>
      <c r="G25" s="3">
        <f t="shared" si="0"/>
        <v>10300</v>
      </c>
      <c r="H25" s="2" t="str">
        <f t="shared" si="1"/>
        <v>CR</v>
      </c>
    </row>
    <row r="26" spans="1:8" ht="21" customHeight="1" x14ac:dyDescent="0.25">
      <c r="A26" s="9">
        <v>45090</v>
      </c>
      <c r="B26" s="2" t="s">
        <v>8</v>
      </c>
      <c r="C26" s="12" t="s">
        <v>431</v>
      </c>
      <c r="D26" s="2" t="s">
        <v>505</v>
      </c>
      <c r="E26" s="13">
        <v>10000</v>
      </c>
      <c r="F26" s="13">
        <v>0</v>
      </c>
      <c r="G26" s="3">
        <f t="shared" si="0"/>
        <v>300</v>
      </c>
      <c r="H26" s="2" t="str">
        <f t="shared" si="1"/>
        <v>CR</v>
      </c>
    </row>
    <row r="27" spans="1:8" ht="21" customHeight="1" x14ac:dyDescent="0.25">
      <c r="A27" s="9">
        <v>45096</v>
      </c>
      <c r="B27" s="2" t="s">
        <v>10</v>
      </c>
      <c r="C27" s="22" t="s">
        <v>506</v>
      </c>
      <c r="D27" s="2" t="s">
        <v>198</v>
      </c>
      <c r="E27" s="13">
        <v>0</v>
      </c>
      <c r="F27" s="13">
        <v>5700</v>
      </c>
      <c r="G27" s="3">
        <f t="shared" si="0"/>
        <v>6000</v>
      </c>
      <c r="H27" s="2" t="str">
        <f t="shared" si="1"/>
        <v>CR</v>
      </c>
    </row>
    <row r="28" spans="1:8" ht="21" customHeight="1" x14ac:dyDescent="0.25">
      <c r="A28" s="9">
        <v>45104</v>
      </c>
      <c r="B28" s="2" t="s">
        <v>8</v>
      </c>
      <c r="C28" s="2" t="s">
        <v>431</v>
      </c>
      <c r="D28" s="2" t="s">
        <v>505</v>
      </c>
      <c r="E28" s="13">
        <v>6000</v>
      </c>
      <c r="F28" s="13">
        <v>0</v>
      </c>
      <c r="G28" s="3">
        <f t="shared" si="0"/>
        <v>0</v>
      </c>
      <c r="H28" s="2" t="str">
        <f t="shared" si="1"/>
        <v>NIL</v>
      </c>
    </row>
    <row r="29" spans="1:8" ht="21" customHeight="1" x14ac:dyDescent="0.25">
      <c r="A29" s="9">
        <v>45114</v>
      </c>
      <c r="B29" s="2" t="s">
        <v>10</v>
      </c>
      <c r="C29" s="33" t="s">
        <v>507</v>
      </c>
      <c r="D29" s="28" t="s">
        <v>398</v>
      </c>
      <c r="E29" s="13"/>
      <c r="F29" s="13">
        <v>1750</v>
      </c>
      <c r="G29" s="3">
        <f>G28+F29-E29</f>
        <v>1750</v>
      </c>
      <c r="H29" s="2" t="str">
        <f t="shared" si="1"/>
        <v>CR</v>
      </c>
    </row>
    <row r="30" spans="1:8" ht="21" customHeight="1" x14ac:dyDescent="0.25">
      <c r="A30" s="9">
        <v>45116</v>
      </c>
      <c r="B30" s="2" t="s">
        <v>8</v>
      </c>
      <c r="C30" s="2" t="s">
        <v>431</v>
      </c>
      <c r="D30" s="2" t="s">
        <v>505</v>
      </c>
      <c r="E30" s="13">
        <v>1750</v>
      </c>
      <c r="F30" s="13"/>
      <c r="G30" s="3">
        <f>G29+F30-E30</f>
        <v>0</v>
      </c>
      <c r="H30" s="2" t="str">
        <f t="shared" si="1"/>
        <v>NIL</v>
      </c>
    </row>
    <row r="31" spans="1:8" ht="21" customHeight="1" x14ac:dyDescent="0.25">
      <c r="A31" s="9">
        <v>45121</v>
      </c>
      <c r="B31" s="2" t="s">
        <v>10</v>
      </c>
      <c r="C31" s="20" t="s">
        <v>508</v>
      </c>
      <c r="D31" s="2" t="s">
        <v>509</v>
      </c>
      <c r="E31" s="13">
        <v>0</v>
      </c>
      <c r="F31" s="13">
        <v>4550</v>
      </c>
      <c r="G31" s="3">
        <f t="shared" si="0"/>
        <v>4550</v>
      </c>
      <c r="H31" s="2" t="str">
        <f t="shared" si="1"/>
        <v>CR</v>
      </c>
    </row>
    <row r="32" spans="1:8" ht="21" customHeight="1" x14ac:dyDescent="0.25">
      <c r="A32" s="9">
        <v>45131</v>
      </c>
      <c r="B32" s="2" t="s">
        <v>10</v>
      </c>
      <c r="C32" s="20" t="s">
        <v>510</v>
      </c>
      <c r="D32" s="2" t="s">
        <v>511</v>
      </c>
      <c r="E32" s="13"/>
      <c r="F32" s="13">
        <v>4650</v>
      </c>
      <c r="G32" s="3">
        <f t="shared" si="0"/>
        <v>9200</v>
      </c>
      <c r="H32" s="2" t="str">
        <f t="shared" si="1"/>
        <v>CR</v>
      </c>
    </row>
    <row r="33" spans="1:8" ht="21" customHeight="1" x14ac:dyDescent="0.25">
      <c r="A33" s="9">
        <v>45146</v>
      </c>
      <c r="B33" s="2" t="s">
        <v>10</v>
      </c>
      <c r="C33" s="20" t="s">
        <v>512</v>
      </c>
      <c r="D33" s="2" t="s">
        <v>513</v>
      </c>
      <c r="E33" s="13"/>
      <c r="F33" s="13">
        <v>3700</v>
      </c>
      <c r="G33" s="3">
        <f t="shared" si="0"/>
        <v>12900</v>
      </c>
      <c r="H33" s="2" t="str">
        <f t="shared" si="1"/>
        <v>CR</v>
      </c>
    </row>
    <row r="34" spans="1:8" ht="21" customHeight="1" x14ac:dyDescent="0.25">
      <c r="A34" s="9">
        <v>45153</v>
      </c>
      <c r="B34" s="2" t="s">
        <v>8</v>
      </c>
      <c r="C34" s="2" t="s">
        <v>431</v>
      </c>
      <c r="D34" s="2" t="s">
        <v>505</v>
      </c>
      <c r="E34" s="13">
        <v>12900</v>
      </c>
      <c r="F34" s="13"/>
      <c r="G34" s="3">
        <f t="shared" si="0"/>
        <v>0</v>
      </c>
      <c r="H34" s="2" t="str">
        <f t="shared" si="1"/>
        <v>NIL</v>
      </c>
    </row>
    <row r="35" spans="1:8" ht="21" customHeight="1" x14ac:dyDescent="0.25">
      <c r="A35" s="9">
        <v>45154</v>
      </c>
      <c r="B35" s="2" t="s">
        <v>10</v>
      </c>
      <c r="C35" s="20" t="s">
        <v>514</v>
      </c>
      <c r="D35" s="2" t="s">
        <v>515</v>
      </c>
      <c r="E35" s="13"/>
      <c r="F35" s="13">
        <v>9800</v>
      </c>
      <c r="G35" s="3">
        <f t="shared" si="0"/>
        <v>9800</v>
      </c>
      <c r="H35" s="2" t="str">
        <f t="shared" si="1"/>
        <v>CR</v>
      </c>
    </row>
    <row r="36" spans="1:8" ht="21" customHeight="1" x14ac:dyDescent="0.25">
      <c r="A36" s="10"/>
      <c r="B36" s="4"/>
      <c r="C36" s="4"/>
      <c r="D36" s="4" t="s">
        <v>9</v>
      </c>
      <c r="E36" s="5">
        <f>SUM(E6:E35)</f>
        <v>94350</v>
      </c>
      <c r="F36" s="5">
        <f>SUM(F6:F35)</f>
        <v>86400</v>
      </c>
      <c r="G36" s="5">
        <f>G5+F36-E36</f>
        <v>9800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printOptions horizontalCentered="1"/>
  <pageMargins left="0.7" right="0.7" top="0.75" bottom="0.75" header="0.3" footer="0.3"/>
  <pageSetup paperSize="9" scale="8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6"/>
  <sheetViews>
    <sheetView zoomScaleNormal="100" workbookViewId="0">
      <pane ySplit="4" topLeftCell="A5" activePane="bottomLeft" state="frozen"/>
      <selection pane="bottomLeft" activeCell="A8" sqref="A8"/>
    </sheetView>
  </sheetViews>
  <sheetFormatPr defaultRowHeight="15" x14ac:dyDescent="0.25"/>
  <cols>
    <col min="1" max="1" width="12.140625" style="11" bestFit="1" customWidth="1"/>
    <col min="2" max="2" width="12" bestFit="1" customWidth="1"/>
    <col min="3" max="3" width="19.5703125" bestFit="1" customWidth="1"/>
    <col min="4" max="4" width="39.140625" customWidth="1"/>
    <col min="5" max="6" width="9" style="1" bestFit="1" customWidth="1"/>
    <col min="7" max="7" width="9.85546875" style="1" customWidth="1"/>
    <col min="8" max="8" width="4.140625" customWidth="1"/>
  </cols>
  <sheetData>
    <row r="1" spans="1:8" ht="15.75" x14ac:dyDescent="0.25">
      <c r="A1" s="100" t="s">
        <v>0</v>
      </c>
      <c r="B1" s="100"/>
      <c r="C1" s="100"/>
      <c r="D1" s="100"/>
      <c r="E1" s="100"/>
      <c r="F1" s="100"/>
      <c r="G1" s="100"/>
      <c r="H1" s="100"/>
    </row>
    <row r="2" spans="1:8" ht="15.75" x14ac:dyDescent="0.25">
      <c r="A2" s="100" t="s">
        <v>12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21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6" t="s">
        <v>5</v>
      </c>
      <c r="F4" s="16" t="s">
        <v>6</v>
      </c>
      <c r="G4" s="102" t="s">
        <v>7</v>
      </c>
      <c r="H4" s="102"/>
    </row>
    <row r="5" spans="1:8" ht="21" customHeight="1" x14ac:dyDescent="0.25">
      <c r="A5" s="9"/>
      <c r="B5" s="2"/>
      <c r="C5" s="2"/>
      <c r="D5" s="2" t="s">
        <v>79</v>
      </c>
      <c r="E5" s="3"/>
      <c r="F5" s="3"/>
      <c r="G5" s="3">
        <f>'AL AZIZ-LHR-11'!G36</f>
        <v>9800</v>
      </c>
      <c r="H5" s="2"/>
    </row>
    <row r="6" spans="1:8" ht="21" customHeight="1" x14ac:dyDescent="0.25">
      <c r="A6" s="9">
        <v>45159</v>
      </c>
      <c r="B6" s="2" t="s">
        <v>10</v>
      </c>
      <c r="C6" s="2" t="s">
        <v>516</v>
      </c>
      <c r="D6" s="2" t="s">
        <v>517</v>
      </c>
      <c r="E6" s="13"/>
      <c r="F6" s="13">
        <v>23800</v>
      </c>
      <c r="G6" s="3">
        <f>G5+F6-E6</f>
        <v>33600</v>
      </c>
      <c r="H6" s="2" t="str">
        <f>IF(G6=0,"NIL",IF(G6&gt;0,"CR","DR"))</f>
        <v>CR</v>
      </c>
    </row>
    <row r="7" spans="1:8" ht="21" customHeight="1" x14ac:dyDescent="0.25">
      <c r="A7" s="9">
        <v>45168</v>
      </c>
      <c r="B7" s="2" t="s">
        <v>8</v>
      </c>
      <c r="C7" s="2" t="s">
        <v>8</v>
      </c>
      <c r="D7" s="2" t="s">
        <v>505</v>
      </c>
      <c r="E7" s="13">
        <v>33600</v>
      </c>
      <c r="F7" s="13"/>
      <c r="G7" s="3">
        <f t="shared" ref="G7:G35" si="0">G6+F7-E7</f>
        <v>0</v>
      </c>
      <c r="H7" s="2" t="str">
        <f t="shared" ref="H7:H36" si="1">IF(G7=0,"NIL",IF(G7&gt;0,"CR","DR"))</f>
        <v>NIL</v>
      </c>
    </row>
    <row r="8" spans="1:8" ht="21" customHeight="1" x14ac:dyDescent="0.25">
      <c r="A8" s="9">
        <v>45182</v>
      </c>
      <c r="B8" s="2" t="s">
        <v>10</v>
      </c>
      <c r="C8" s="2" t="s">
        <v>518</v>
      </c>
      <c r="D8" s="2" t="s">
        <v>519</v>
      </c>
      <c r="E8" s="13"/>
      <c r="F8" s="13">
        <v>4600</v>
      </c>
      <c r="G8" s="3">
        <f t="shared" si="0"/>
        <v>4600</v>
      </c>
      <c r="H8" s="2" t="str">
        <f t="shared" si="1"/>
        <v>CR</v>
      </c>
    </row>
    <row r="9" spans="1:8" ht="21" customHeight="1" x14ac:dyDescent="0.25">
      <c r="A9" s="9">
        <v>45188</v>
      </c>
      <c r="B9" s="2" t="s">
        <v>10</v>
      </c>
      <c r="C9" s="2" t="s">
        <v>520</v>
      </c>
      <c r="D9" s="2" t="s">
        <v>521</v>
      </c>
      <c r="E9" s="13"/>
      <c r="F9" s="13">
        <v>4650</v>
      </c>
      <c r="G9" s="3">
        <f t="shared" si="0"/>
        <v>9250</v>
      </c>
      <c r="H9" s="2" t="str">
        <f t="shared" si="1"/>
        <v>CR</v>
      </c>
    </row>
    <row r="10" spans="1:8" ht="21" customHeight="1" x14ac:dyDescent="0.25">
      <c r="A10" s="9">
        <v>45200</v>
      </c>
      <c r="B10" s="2" t="s">
        <v>8</v>
      </c>
      <c r="C10" s="2" t="s">
        <v>431</v>
      </c>
      <c r="D10" s="2" t="s">
        <v>505</v>
      </c>
      <c r="E10" s="13">
        <v>9250</v>
      </c>
      <c r="F10" s="13"/>
      <c r="G10" s="3">
        <f t="shared" si="0"/>
        <v>0</v>
      </c>
      <c r="H10" s="2" t="str">
        <f t="shared" si="1"/>
        <v>NIL</v>
      </c>
    </row>
    <row r="11" spans="1:8" ht="21" customHeight="1" x14ac:dyDescent="0.25">
      <c r="A11" s="9">
        <v>45213</v>
      </c>
      <c r="B11" s="2" t="s">
        <v>10</v>
      </c>
      <c r="C11" s="2" t="s">
        <v>522</v>
      </c>
      <c r="D11" s="2" t="s">
        <v>523</v>
      </c>
      <c r="E11" s="13"/>
      <c r="F11" s="13">
        <v>3650</v>
      </c>
      <c r="G11" s="3">
        <f t="shared" si="0"/>
        <v>3650</v>
      </c>
      <c r="H11" s="2" t="str">
        <f t="shared" si="1"/>
        <v>CR</v>
      </c>
    </row>
    <row r="12" spans="1:8" ht="21" customHeight="1" x14ac:dyDescent="0.25">
      <c r="A12" s="9">
        <v>45215</v>
      </c>
      <c r="B12" s="2" t="s">
        <v>10</v>
      </c>
      <c r="C12" s="2" t="s">
        <v>524</v>
      </c>
      <c r="D12" s="2" t="s">
        <v>525</v>
      </c>
      <c r="E12" s="13"/>
      <c r="F12" s="13">
        <v>3650</v>
      </c>
      <c r="G12" s="3">
        <f t="shared" si="0"/>
        <v>7300</v>
      </c>
      <c r="H12" s="2" t="str">
        <f t="shared" si="1"/>
        <v>CR</v>
      </c>
    </row>
    <row r="13" spans="1:8" ht="21" customHeight="1" x14ac:dyDescent="0.25">
      <c r="A13" s="9">
        <v>45215</v>
      </c>
      <c r="B13" s="2" t="s">
        <v>10</v>
      </c>
      <c r="C13" s="2" t="s">
        <v>526</v>
      </c>
      <c r="D13" s="2" t="s">
        <v>527</v>
      </c>
      <c r="E13" s="13"/>
      <c r="F13" s="13">
        <v>3700</v>
      </c>
      <c r="G13" s="3">
        <f t="shared" si="0"/>
        <v>11000</v>
      </c>
      <c r="H13" s="2" t="str">
        <f t="shared" si="1"/>
        <v>CR</v>
      </c>
    </row>
    <row r="14" spans="1:8" ht="21" customHeight="1" x14ac:dyDescent="0.25">
      <c r="A14" s="9">
        <v>45223</v>
      </c>
      <c r="B14" s="2" t="s">
        <v>10</v>
      </c>
      <c r="C14" s="2" t="s">
        <v>528</v>
      </c>
      <c r="D14" s="12" t="s">
        <v>529</v>
      </c>
      <c r="E14" s="13"/>
      <c r="F14" s="13">
        <v>1150</v>
      </c>
      <c r="G14" s="13">
        <f t="shared" si="0"/>
        <v>12150</v>
      </c>
      <c r="H14" s="2" t="str">
        <f t="shared" si="1"/>
        <v>CR</v>
      </c>
    </row>
    <row r="15" spans="1:8" ht="21" customHeight="1" x14ac:dyDescent="0.25">
      <c r="A15" s="9">
        <v>45229</v>
      </c>
      <c r="B15" s="2" t="s">
        <v>10</v>
      </c>
      <c r="C15" s="2" t="s">
        <v>530</v>
      </c>
      <c r="D15" s="2" t="s">
        <v>531</v>
      </c>
      <c r="E15" s="13"/>
      <c r="F15" s="13">
        <v>1750</v>
      </c>
      <c r="G15" s="3">
        <f t="shared" si="0"/>
        <v>13900</v>
      </c>
      <c r="H15" s="2" t="str">
        <f t="shared" si="1"/>
        <v>CR</v>
      </c>
    </row>
    <row r="16" spans="1:8" ht="21" customHeight="1" x14ac:dyDescent="0.25">
      <c r="A16" s="9">
        <v>45243</v>
      </c>
      <c r="B16" s="2" t="s">
        <v>10</v>
      </c>
      <c r="C16" s="2" t="s">
        <v>532</v>
      </c>
      <c r="D16" s="2" t="s">
        <v>295</v>
      </c>
      <c r="E16" s="13"/>
      <c r="F16" s="13">
        <v>3650</v>
      </c>
      <c r="G16" s="3">
        <f t="shared" si="0"/>
        <v>17550</v>
      </c>
      <c r="H16" s="2" t="str">
        <f t="shared" si="1"/>
        <v>CR</v>
      </c>
    </row>
    <row r="17" spans="1:9" ht="21" customHeight="1" x14ac:dyDescent="0.25">
      <c r="A17" s="9">
        <v>45245</v>
      </c>
      <c r="B17" s="2" t="s">
        <v>10</v>
      </c>
      <c r="C17" s="2" t="s">
        <v>533</v>
      </c>
      <c r="D17" s="2" t="s">
        <v>534</v>
      </c>
      <c r="E17" s="13"/>
      <c r="F17" s="13">
        <v>1850</v>
      </c>
      <c r="G17" s="3">
        <f t="shared" si="0"/>
        <v>19400</v>
      </c>
      <c r="H17" s="2" t="str">
        <f t="shared" si="1"/>
        <v>CR</v>
      </c>
    </row>
    <row r="18" spans="1:9" ht="21" customHeight="1" x14ac:dyDescent="0.25">
      <c r="A18" s="9">
        <v>45251</v>
      </c>
      <c r="B18" s="2" t="s">
        <v>8</v>
      </c>
      <c r="C18" s="2" t="s">
        <v>8</v>
      </c>
      <c r="D18" s="2" t="s">
        <v>505</v>
      </c>
      <c r="E18" s="13">
        <v>19400</v>
      </c>
      <c r="F18" s="13"/>
      <c r="G18" s="3">
        <f t="shared" si="0"/>
        <v>0</v>
      </c>
      <c r="H18" s="2" t="str">
        <f t="shared" si="1"/>
        <v>NIL</v>
      </c>
    </row>
    <row r="19" spans="1:9" ht="21" customHeight="1" x14ac:dyDescent="0.25">
      <c r="A19" s="9">
        <v>45253</v>
      </c>
      <c r="B19" s="2" t="s">
        <v>10</v>
      </c>
      <c r="C19" s="2" t="s">
        <v>535</v>
      </c>
      <c r="D19" s="2" t="s">
        <v>531</v>
      </c>
      <c r="E19" s="13">
        <v>0</v>
      </c>
      <c r="F19" s="13">
        <v>1750</v>
      </c>
      <c r="G19" s="3">
        <f t="shared" si="0"/>
        <v>1750</v>
      </c>
      <c r="H19" s="2" t="str">
        <f t="shared" si="1"/>
        <v>CR</v>
      </c>
    </row>
    <row r="20" spans="1:9" ht="21" customHeight="1" x14ac:dyDescent="0.25">
      <c r="A20" s="9">
        <v>45257</v>
      </c>
      <c r="B20" s="2" t="s">
        <v>10</v>
      </c>
      <c r="C20" s="2" t="s">
        <v>537</v>
      </c>
      <c r="D20" s="2" t="s">
        <v>538</v>
      </c>
      <c r="E20" s="13"/>
      <c r="F20" s="13">
        <v>3700</v>
      </c>
      <c r="G20" s="3">
        <f t="shared" si="0"/>
        <v>5450</v>
      </c>
      <c r="H20" s="2" t="str">
        <f t="shared" si="1"/>
        <v>CR</v>
      </c>
    </row>
    <row r="21" spans="1:9" ht="21" customHeight="1" x14ac:dyDescent="0.25">
      <c r="A21" s="9">
        <v>45271</v>
      </c>
      <c r="B21" s="2" t="s">
        <v>8</v>
      </c>
      <c r="C21" s="2" t="s">
        <v>8</v>
      </c>
      <c r="D21" s="2" t="s">
        <v>505</v>
      </c>
      <c r="E21" s="13">
        <v>5450</v>
      </c>
      <c r="F21" s="13"/>
      <c r="G21" s="3">
        <f t="shared" si="0"/>
        <v>0</v>
      </c>
      <c r="H21" s="2" t="str">
        <f t="shared" si="1"/>
        <v>NIL</v>
      </c>
    </row>
    <row r="22" spans="1:9" ht="21" customHeight="1" x14ac:dyDescent="0.25">
      <c r="A22" s="9">
        <v>45273</v>
      </c>
      <c r="B22" s="2" t="s">
        <v>10</v>
      </c>
      <c r="C22" s="12" t="s">
        <v>539</v>
      </c>
      <c r="D22" s="2" t="s">
        <v>540</v>
      </c>
      <c r="E22" s="13">
        <v>0</v>
      </c>
      <c r="F22" s="13">
        <v>1650</v>
      </c>
      <c r="G22" s="3">
        <f t="shared" si="0"/>
        <v>1650</v>
      </c>
      <c r="H22" s="2" t="str">
        <f t="shared" si="1"/>
        <v>CR</v>
      </c>
    </row>
    <row r="23" spans="1:9" ht="21" customHeight="1" x14ac:dyDescent="0.25">
      <c r="A23" s="48">
        <v>45274</v>
      </c>
      <c r="B23" s="39" t="s">
        <v>10</v>
      </c>
      <c r="C23" s="49" t="s">
        <v>541</v>
      </c>
      <c r="D23" s="39" t="s">
        <v>313</v>
      </c>
      <c r="E23" s="50">
        <v>0</v>
      </c>
      <c r="F23" s="50">
        <v>2850</v>
      </c>
      <c r="G23" s="50">
        <f t="shared" si="0"/>
        <v>4500</v>
      </c>
      <c r="H23" s="39" t="str">
        <f t="shared" si="1"/>
        <v>CR</v>
      </c>
      <c r="I23" s="41">
        <v>2700</v>
      </c>
    </row>
    <row r="24" spans="1:9" ht="21" customHeight="1" x14ac:dyDescent="0.25">
      <c r="A24" s="9">
        <v>45275</v>
      </c>
      <c r="B24" s="2" t="s">
        <v>10</v>
      </c>
      <c r="C24" s="12" t="s">
        <v>542</v>
      </c>
      <c r="D24" s="2" t="s">
        <v>313</v>
      </c>
      <c r="E24" s="13">
        <v>0</v>
      </c>
      <c r="F24" s="13">
        <v>2850</v>
      </c>
      <c r="G24" s="3">
        <f t="shared" si="0"/>
        <v>7350</v>
      </c>
      <c r="H24" s="2" t="str">
        <f t="shared" si="1"/>
        <v>CR</v>
      </c>
    </row>
    <row r="25" spans="1:9" ht="21" customHeight="1" x14ac:dyDescent="0.25">
      <c r="A25" s="9">
        <v>45287</v>
      </c>
      <c r="B25" s="2" t="s">
        <v>10</v>
      </c>
      <c r="C25" s="12" t="s">
        <v>543</v>
      </c>
      <c r="D25" s="2" t="s">
        <v>544</v>
      </c>
      <c r="E25" s="13">
        <v>0</v>
      </c>
      <c r="F25" s="13">
        <v>1650</v>
      </c>
      <c r="G25" s="3">
        <f t="shared" si="0"/>
        <v>9000</v>
      </c>
      <c r="H25" s="2" t="str">
        <f t="shared" si="1"/>
        <v>CR</v>
      </c>
    </row>
    <row r="26" spans="1:9" ht="21" customHeight="1" x14ac:dyDescent="0.25">
      <c r="A26" s="9">
        <v>45288</v>
      </c>
      <c r="B26" s="2" t="s">
        <v>10</v>
      </c>
      <c r="C26" s="12" t="s">
        <v>545</v>
      </c>
      <c r="D26" s="2" t="s">
        <v>546</v>
      </c>
      <c r="E26" s="13">
        <v>0</v>
      </c>
      <c r="F26" s="13">
        <v>6000</v>
      </c>
      <c r="G26" s="3">
        <f t="shared" si="0"/>
        <v>15000</v>
      </c>
      <c r="H26" s="2" t="str">
        <f t="shared" si="1"/>
        <v>CR</v>
      </c>
    </row>
    <row r="27" spans="1:9" ht="21" customHeight="1" x14ac:dyDescent="0.25">
      <c r="A27" s="9">
        <v>45289</v>
      </c>
      <c r="B27" s="2" t="s">
        <v>10</v>
      </c>
      <c r="C27" s="12" t="s">
        <v>547</v>
      </c>
      <c r="D27" s="2" t="s">
        <v>548</v>
      </c>
      <c r="E27" s="13">
        <v>0</v>
      </c>
      <c r="F27" s="13">
        <v>1850</v>
      </c>
      <c r="G27" s="3">
        <f t="shared" si="0"/>
        <v>16850</v>
      </c>
      <c r="H27" s="2" t="str">
        <f t="shared" si="1"/>
        <v>CR</v>
      </c>
    </row>
    <row r="28" spans="1:9" ht="21" customHeight="1" x14ac:dyDescent="0.25">
      <c r="A28" s="19">
        <v>45293</v>
      </c>
      <c r="B28" s="20" t="s">
        <v>10</v>
      </c>
      <c r="C28" s="22" t="s">
        <v>549</v>
      </c>
      <c r="D28" s="40" t="s">
        <v>440</v>
      </c>
      <c r="E28" s="13">
        <v>0</v>
      </c>
      <c r="F28" s="21">
        <v>4550</v>
      </c>
      <c r="G28" s="3">
        <f t="shared" si="0"/>
        <v>21400</v>
      </c>
      <c r="H28" s="2" t="str">
        <f t="shared" si="1"/>
        <v>CR</v>
      </c>
    </row>
    <row r="29" spans="1:9" ht="21" customHeight="1" x14ac:dyDescent="0.25">
      <c r="A29" s="9">
        <v>45299</v>
      </c>
      <c r="B29" s="2" t="s">
        <v>10</v>
      </c>
      <c r="C29" s="33" t="s">
        <v>550</v>
      </c>
      <c r="D29" s="28" t="s">
        <v>551</v>
      </c>
      <c r="E29" s="13"/>
      <c r="F29" s="21">
        <v>4650</v>
      </c>
      <c r="G29" s="3">
        <f>G28+F29-E29</f>
        <v>26050</v>
      </c>
      <c r="H29" s="2" t="str">
        <f t="shared" si="1"/>
        <v>CR</v>
      </c>
    </row>
    <row r="30" spans="1:9" ht="21" customHeight="1" x14ac:dyDescent="0.25">
      <c r="A30" s="9">
        <v>45299</v>
      </c>
      <c r="B30" s="2" t="s">
        <v>10</v>
      </c>
      <c r="C30" s="20" t="s">
        <v>552</v>
      </c>
      <c r="D30" s="2" t="s">
        <v>488</v>
      </c>
      <c r="E30" s="13"/>
      <c r="F30" s="21">
        <v>1650</v>
      </c>
      <c r="G30" s="3">
        <f>G29+F30-E30</f>
        <v>27700</v>
      </c>
      <c r="H30" s="2" t="str">
        <f t="shared" si="1"/>
        <v>CR</v>
      </c>
    </row>
    <row r="31" spans="1:9" ht="21" customHeight="1" x14ac:dyDescent="0.25">
      <c r="A31" s="48">
        <v>45310</v>
      </c>
      <c r="B31" s="39" t="s">
        <v>10</v>
      </c>
      <c r="C31" s="39" t="s">
        <v>553</v>
      </c>
      <c r="D31" s="39" t="s">
        <v>554</v>
      </c>
      <c r="E31" s="50"/>
      <c r="F31" s="50">
        <v>1750</v>
      </c>
      <c r="G31" s="50">
        <f t="shared" si="0"/>
        <v>29450</v>
      </c>
      <c r="H31" s="39" t="str">
        <f t="shared" si="1"/>
        <v>CR</v>
      </c>
      <c r="I31" s="41">
        <v>1600</v>
      </c>
    </row>
    <row r="32" spans="1:9" ht="21" customHeight="1" x14ac:dyDescent="0.25">
      <c r="A32" s="9">
        <v>45313</v>
      </c>
      <c r="B32" s="2" t="s">
        <v>10</v>
      </c>
      <c r="C32" s="20" t="s">
        <v>555</v>
      </c>
      <c r="D32" s="2" t="s">
        <v>556</v>
      </c>
      <c r="E32" s="13"/>
      <c r="F32" s="21">
        <v>1850</v>
      </c>
      <c r="G32" s="3">
        <f t="shared" si="0"/>
        <v>31300</v>
      </c>
      <c r="H32" s="2" t="str">
        <f t="shared" si="1"/>
        <v>CR</v>
      </c>
    </row>
    <row r="33" spans="1:8" ht="21" customHeight="1" x14ac:dyDescent="0.25">
      <c r="A33" s="9">
        <v>45313</v>
      </c>
      <c r="B33" s="2" t="s">
        <v>10</v>
      </c>
      <c r="C33" s="2" t="s">
        <v>557</v>
      </c>
      <c r="D33" s="2" t="s">
        <v>558</v>
      </c>
      <c r="E33" s="13"/>
      <c r="F33" s="21">
        <v>950</v>
      </c>
      <c r="G33" s="3">
        <f t="shared" si="0"/>
        <v>32250</v>
      </c>
      <c r="H33" s="2" t="str">
        <f t="shared" si="1"/>
        <v>CR</v>
      </c>
    </row>
    <row r="34" spans="1:8" ht="21" customHeight="1" x14ac:dyDescent="0.25">
      <c r="A34" s="9">
        <v>45320</v>
      </c>
      <c r="B34" s="2" t="s">
        <v>8</v>
      </c>
      <c r="C34" s="2" t="s">
        <v>8</v>
      </c>
      <c r="D34" s="2" t="s">
        <v>505</v>
      </c>
      <c r="E34" s="21">
        <v>27700</v>
      </c>
      <c r="F34" s="13"/>
      <c r="G34" s="3">
        <f t="shared" si="0"/>
        <v>4550</v>
      </c>
      <c r="H34" s="2" t="str">
        <f t="shared" si="1"/>
        <v>CR</v>
      </c>
    </row>
    <row r="35" spans="1:8" ht="21" customHeight="1" x14ac:dyDescent="0.25">
      <c r="A35" s="9">
        <v>45322</v>
      </c>
      <c r="B35" s="2" t="s">
        <v>10</v>
      </c>
      <c r="C35" s="2" t="s">
        <v>559</v>
      </c>
      <c r="D35" s="2" t="s">
        <v>560</v>
      </c>
      <c r="E35" s="13"/>
      <c r="F35" s="21">
        <v>6650</v>
      </c>
      <c r="G35" s="3">
        <f t="shared" si="0"/>
        <v>11200</v>
      </c>
      <c r="H35" s="2" t="str">
        <f t="shared" si="1"/>
        <v>CR</v>
      </c>
    </row>
    <row r="36" spans="1:8" ht="21" customHeight="1" x14ac:dyDescent="0.25">
      <c r="A36" s="10"/>
      <c r="B36" s="4"/>
      <c r="C36" s="4"/>
      <c r="D36" s="4" t="s">
        <v>9</v>
      </c>
      <c r="E36" s="5">
        <f>SUM(E6:E35)</f>
        <v>95400</v>
      </c>
      <c r="F36" s="5">
        <f>SUM(F6:F35)</f>
        <v>96800</v>
      </c>
      <c r="G36" s="5">
        <f>G5+F36-E36</f>
        <v>11200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printOptions horizontalCentered="1"/>
  <pageMargins left="0.7" right="0.7" top="0.75" bottom="0.75" header="0.3" footer="0.3"/>
  <pageSetup paperSize="9" scale="84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F4CE-A992-4E29-A991-8FB209AFAAA7}">
  <sheetPr>
    <pageSetUpPr fitToPage="1"/>
  </sheetPr>
  <dimension ref="A1:J36"/>
  <sheetViews>
    <sheetView zoomScaleNormal="100" workbookViewId="0">
      <pane ySplit="4" topLeftCell="A20" activePane="bottomLeft" state="frozen"/>
      <selection pane="bottomLeft" activeCell="D33" sqref="D33"/>
    </sheetView>
  </sheetViews>
  <sheetFormatPr defaultRowHeight="15" x14ac:dyDescent="0.25"/>
  <cols>
    <col min="1" max="1" width="12.140625" style="11" bestFit="1" customWidth="1"/>
    <col min="2" max="2" width="12" bestFit="1" customWidth="1"/>
    <col min="3" max="3" width="19.5703125" bestFit="1" customWidth="1"/>
    <col min="4" max="4" width="39.140625" customWidth="1"/>
    <col min="5" max="6" width="9" style="1" bestFit="1" customWidth="1"/>
    <col min="7" max="7" width="9.85546875" style="1" customWidth="1"/>
    <col min="8" max="8" width="4.140625" customWidth="1"/>
    <col min="10" max="10" width="14.7109375" bestFit="1" customWidth="1"/>
  </cols>
  <sheetData>
    <row r="1" spans="1:10" ht="15.75" x14ac:dyDescent="0.25">
      <c r="A1" s="100" t="s">
        <v>0</v>
      </c>
      <c r="B1" s="100"/>
      <c r="C1" s="100"/>
      <c r="D1" s="100"/>
      <c r="E1" s="100"/>
      <c r="F1" s="100"/>
      <c r="G1" s="100"/>
      <c r="H1" s="100"/>
      <c r="J1" s="42" t="s">
        <v>670</v>
      </c>
    </row>
    <row r="2" spans="1:10" ht="15.75" x14ac:dyDescent="0.25">
      <c r="A2" s="100" t="s">
        <v>12</v>
      </c>
      <c r="B2" s="100"/>
      <c r="C2" s="100"/>
      <c r="D2" s="100"/>
      <c r="E2" s="100"/>
      <c r="F2" s="100"/>
      <c r="G2" s="100"/>
      <c r="H2" s="100"/>
    </row>
    <row r="3" spans="1:10" x14ac:dyDescent="0.25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10" ht="21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6" t="s">
        <v>5</v>
      </c>
      <c r="F4" s="16" t="s">
        <v>6</v>
      </c>
      <c r="G4" s="102" t="s">
        <v>7</v>
      </c>
      <c r="H4" s="102"/>
    </row>
    <row r="5" spans="1:10" ht="21" customHeight="1" x14ac:dyDescent="0.25">
      <c r="A5" s="9"/>
      <c r="B5" s="2"/>
      <c r="C5" s="2"/>
      <c r="D5" s="2" t="s">
        <v>79</v>
      </c>
      <c r="E5" s="3"/>
      <c r="F5" s="3"/>
      <c r="G5" s="3">
        <f>'AL AZIZ-LHR-12'!G36</f>
        <v>11200</v>
      </c>
      <c r="H5" s="2"/>
    </row>
    <row r="6" spans="1:10" ht="21" customHeight="1" x14ac:dyDescent="0.25">
      <c r="A6" s="9">
        <v>45338</v>
      </c>
      <c r="B6" s="2" t="s">
        <v>10</v>
      </c>
      <c r="C6" s="2" t="s">
        <v>562</v>
      </c>
      <c r="D6" s="39" t="s">
        <v>561</v>
      </c>
      <c r="E6" s="13"/>
      <c r="F6" s="21">
        <v>5150</v>
      </c>
      <c r="G6" s="3">
        <f>G5+F6-E6</f>
        <v>16350</v>
      </c>
      <c r="H6" s="2" t="str">
        <f>IF(G6=0,"NIL",IF(G6&gt;0,"CR","DR"))</f>
        <v>CR</v>
      </c>
      <c r="I6" s="41"/>
    </row>
    <row r="7" spans="1:10" ht="21" customHeight="1" x14ac:dyDescent="0.25">
      <c r="A7" s="9">
        <v>45341</v>
      </c>
      <c r="B7" s="2" t="s">
        <v>10</v>
      </c>
      <c r="C7" s="2" t="s">
        <v>565</v>
      </c>
      <c r="D7" s="2" t="s">
        <v>566</v>
      </c>
      <c r="E7" s="13"/>
      <c r="F7" s="21">
        <v>3850</v>
      </c>
      <c r="G7" s="3">
        <f t="shared" ref="G7:G35" si="0">G6+F7-E7</f>
        <v>20200</v>
      </c>
      <c r="H7" s="2" t="str">
        <f t="shared" ref="H7:H36" si="1">IF(G7=0,"NIL",IF(G7&gt;0,"CR","DR"))</f>
        <v>CR</v>
      </c>
    </row>
    <row r="8" spans="1:10" ht="21" customHeight="1" x14ac:dyDescent="0.25">
      <c r="A8" s="9">
        <v>45342</v>
      </c>
      <c r="B8" s="2" t="s">
        <v>10</v>
      </c>
      <c r="C8" s="2" t="s">
        <v>563</v>
      </c>
      <c r="D8" s="2" t="s">
        <v>564</v>
      </c>
      <c r="E8" s="13"/>
      <c r="F8" s="21">
        <v>3150</v>
      </c>
      <c r="G8" s="3">
        <f t="shared" si="0"/>
        <v>23350</v>
      </c>
      <c r="H8" s="2" t="str">
        <f t="shared" si="1"/>
        <v>CR</v>
      </c>
    </row>
    <row r="9" spans="1:10" ht="21" customHeight="1" x14ac:dyDescent="0.25">
      <c r="A9" s="9">
        <v>45350</v>
      </c>
      <c r="B9" s="2" t="s">
        <v>10</v>
      </c>
      <c r="C9" s="2" t="s">
        <v>567</v>
      </c>
      <c r="D9" s="2" t="s">
        <v>568</v>
      </c>
      <c r="E9" s="13"/>
      <c r="F9" s="21">
        <v>5650</v>
      </c>
      <c r="G9" s="3">
        <f t="shared" si="0"/>
        <v>29000</v>
      </c>
      <c r="H9" s="2" t="str">
        <f t="shared" si="1"/>
        <v>CR</v>
      </c>
    </row>
    <row r="10" spans="1:10" ht="21" customHeight="1" x14ac:dyDescent="0.25">
      <c r="A10" s="9">
        <v>45352</v>
      </c>
      <c r="B10" s="2" t="s">
        <v>10</v>
      </c>
      <c r="C10" s="2" t="s">
        <v>569</v>
      </c>
      <c r="D10" s="2" t="s">
        <v>570</v>
      </c>
      <c r="E10" s="13"/>
      <c r="F10" s="21">
        <v>3650</v>
      </c>
      <c r="G10" s="3">
        <f t="shared" si="0"/>
        <v>32650</v>
      </c>
      <c r="H10" s="2" t="str">
        <f t="shared" si="1"/>
        <v>CR</v>
      </c>
    </row>
    <row r="11" spans="1:10" ht="21" customHeight="1" x14ac:dyDescent="0.25">
      <c r="A11" s="9">
        <v>45356</v>
      </c>
      <c r="B11" s="2" t="s">
        <v>10</v>
      </c>
      <c r="C11" s="2" t="s">
        <v>571</v>
      </c>
      <c r="D11" s="2" t="s">
        <v>572</v>
      </c>
      <c r="E11" s="13"/>
      <c r="F11" s="21">
        <v>3650</v>
      </c>
      <c r="G11" s="3">
        <f t="shared" si="0"/>
        <v>36300</v>
      </c>
      <c r="H11" s="2" t="str">
        <f t="shared" si="1"/>
        <v>CR</v>
      </c>
    </row>
    <row r="12" spans="1:10" ht="21" customHeight="1" x14ac:dyDescent="0.25">
      <c r="A12" s="9">
        <v>45325</v>
      </c>
      <c r="B12" s="2" t="s">
        <v>33</v>
      </c>
      <c r="C12" s="2">
        <v>33590</v>
      </c>
      <c r="D12" s="2" t="s">
        <v>440</v>
      </c>
      <c r="E12" s="21">
        <v>4400</v>
      </c>
      <c r="F12" s="13"/>
      <c r="G12" s="3">
        <f t="shared" si="0"/>
        <v>31900</v>
      </c>
      <c r="H12" s="2" t="str">
        <f t="shared" si="1"/>
        <v>CR</v>
      </c>
    </row>
    <row r="13" spans="1:10" ht="21" customHeight="1" x14ac:dyDescent="0.25">
      <c r="A13" s="9">
        <v>45325</v>
      </c>
      <c r="B13" s="2" t="s">
        <v>33</v>
      </c>
      <c r="C13" s="2">
        <v>33590</v>
      </c>
      <c r="D13" s="2" t="s">
        <v>554</v>
      </c>
      <c r="E13" s="21">
        <v>1600</v>
      </c>
      <c r="F13" s="13"/>
      <c r="G13" s="3">
        <f t="shared" si="0"/>
        <v>30300</v>
      </c>
      <c r="H13" s="2" t="str">
        <f t="shared" si="1"/>
        <v>CR</v>
      </c>
    </row>
    <row r="14" spans="1:10" ht="21" customHeight="1" x14ac:dyDescent="0.25">
      <c r="A14" s="9">
        <v>45361</v>
      </c>
      <c r="B14" s="2" t="s">
        <v>10</v>
      </c>
      <c r="C14" s="2" t="s">
        <v>574</v>
      </c>
      <c r="D14" s="12" t="s">
        <v>575</v>
      </c>
      <c r="E14" s="13"/>
      <c r="F14" s="13">
        <v>7150</v>
      </c>
      <c r="G14" s="13">
        <f t="shared" si="0"/>
        <v>37450</v>
      </c>
      <c r="H14" s="2" t="str">
        <f t="shared" si="1"/>
        <v>CR</v>
      </c>
    </row>
    <row r="15" spans="1:10" ht="21" customHeight="1" x14ac:dyDescent="0.25">
      <c r="A15" s="9">
        <v>45367</v>
      </c>
      <c r="B15" s="2" t="s">
        <v>10</v>
      </c>
      <c r="C15" s="2" t="s">
        <v>576</v>
      </c>
      <c r="D15" s="39" t="s">
        <v>577</v>
      </c>
      <c r="E15" s="13"/>
      <c r="F15" s="21">
        <v>1650</v>
      </c>
      <c r="G15" s="3">
        <f t="shared" si="0"/>
        <v>39100</v>
      </c>
      <c r="H15" s="2" t="str">
        <f t="shared" si="1"/>
        <v>CR</v>
      </c>
      <c r="I15" s="41"/>
    </row>
    <row r="16" spans="1:10" ht="21" customHeight="1" x14ac:dyDescent="0.25">
      <c r="A16" s="9">
        <v>45369</v>
      </c>
      <c r="B16" s="2" t="s">
        <v>8</v>
      </c>
      <c r="C16" s="2" t="s">
        <v>8</v>
      </c>
      <c r="D16" s="2" t="s">
        <v>505</v>
      </c>
      <c r="E16" s="13">
        <v>30000</v>
      </c>
      <c r="F16" s="13"/>
      <c r="G16" s="3">
        <f t="shared" si="0"/>
        <v>9100</v>
      </c>
      <c r="H16" s="2" t="str">
        <f t="shared" si="1"/>
        <v>CR</v>
      </c>
    </row>
    <row r="17" spans="1:8" ht="21" customHeight="1" x14ac:dyDescent="0.25">
      <c r="A17" s="9">
        <v>45376</v>
      </c>
      <c r="B17" s="2" t="s">
        <v>10</v>
      </c>
      <c r="C17" s="2" t="s">
        <v>637</v>
      </c>
      <c r="D17" s="2" t="s">
        <v>577</v>
      </c>
      <c r="E17" s="13"/>
      <c r="F17" s="13">
        <v>1650</v>
      </c>
      <c r="G17" s="3">
        <f t="shared" si="0"/>
        <v>10750</v>
      </c>
      <c r="H17" s="2" t="str">
        <f t="shared" si="1"/>
        <v>CR</v>
      </c>
    </row>
    <row r="18" spans="1:8" ht="21" customHeight="1" x14ac:dyDescent="0.25">
      <c r="A18" s="9">
        <v>45381</v>
      </c>
      <c r="B18" s="2" t="s">
        <v>10</v>
      </c>
      <c r="C18" s="2" t="s">
        <v>640</v>
      </c>
      <c r="D18" s="2" t="s">
        <v>509</v>
      </c>
      <c r="E18" s="13"/>
      <c r="F18" s="13">
        <v>4600</v>
      </c>
      <c r="G18" s="3">
        <f>G17+F18-E18</f>
        <v>15350</v>
      </c>
      <c r="H18" s="2" t="str">
        <f t="shared" si="1"/>
        <v>CR</v>
      </c>
    </row>
    <row r="19" spans="1:8" ht="21" customHeight="1" x14ac:dyDescent="0.25">
      <c r="A19" s="9">
        <v>45386</v>
      </c>
      <c r="B19" s="2" t="s">
        <v>10</v>
      </c>
      <c r="C19" s="2" t="s">
        <v>641</v>
      </c>
      <c r="D19" s="2" t="s">
        <v>642</v>
      </c>
      <c r="E19" s="13"/>
      <c r="F19" s="13">
        <v>3700</v>
      </c>
      <c r="G19" s="3">
        <f t="shared" si="0"/>
        <v>19050</v>
      </c>
      <c r="H19" s="2" t="str">
        <f t="shared" si="1"/>
        <v>CR</v>
      </c>
    </row>
    <row r="20" spans="1:8" ht="21" customHeight="1" x14ac:dyDescent="0.25">
      <c r="A20" s="9">
        <v>45413</v>
      </c>
      <c r="B20" s="2" t="s">
        <v>10</v>
      </c>
      <c r="C20" s="2" t="s">
        <v>648</v>
      </c>
      <c r="D20" s="2" t="s">
        <v>649</v>
      </c>
      <c r="E20" s="13"/>
      <c r="F20" s="13">
        <v>15800</v>
      </c>
      <c r="G20" s="3">
        <f t="shared" si="0"/>
        <v>34850</v>
      </c>
      <c r="H20" s="2" t="str">
        <f t="shared" si="1"/>
        <v>CR</v>
      </c>
    </row>
    <row r="21" spans="1:8" ht="21" customHeight="1" x14ac:dyDescent="0.25">
      <c r="A21" s="9">
        <v>45415</v>
      </c>
      <c r="B21" s="2" t="s">
        <v>10</v>
      </c>
      <c r="C21" s="2" t="s">
        <v>653</v>
      </c>
      <c r="D21" s="2" t="s">
        <v>652</v>
      </c>
      <c r="E21" s="13"/>
      <c r="F21" s="13">
        <v>3700</v>
      </c>
      <c r="G21" s="3">
        <f t="shared" si="0"/>
        <v>38550</v>
      </c>
      <c r="H21" s="2" t="str">
        <f t="shared" si="1"/>
        <v>CR</v>
      </c>
    </row>
    <row r="22" spans="1:8" ht="21" customHeight="1" x14ac:dyDescent="0.25">
      <c r="A22" s="9">
        <v>45418</v>
      </c>
      <c r="B22" s="2" t="s">
        <v>8</v>
      </c>
      <c r="C22" s="2" t="s">
        <v>8</v>
      </c>
      <c r="D22" s="2" t="s">
        <v>505</v>
      </c>
      <c r="E22" s="13">
        <v>15800</v>
      </c>
      <c r="F22" s="13"/>
      <c r="G22" s="3">
        <f t="shared" si="0"/>
        <v>22750</v>
      </c>
      <c r="H22" s="2" t="str">
        <f t="shared" si="1"/>
        <v>CR</v>
      </c>
    </row>
    <row r="23" spans="1:8" ht="21" customHeight="1" x14ac:dyDescent="0.25">
      <c r="A23" s="9">
        <v>45422</v>
      </c>
      <c r="B23" s="2" t="s">
        <v>10</v>
      </c>
      <c r="C23" s="12" t="s">
        <v>656</v>
      </c>
      <c r="D23" s="2" t="s">
        <v>657</v>
      </c>
      <c r="E23" s="13"/>
      <c r="F23" s="13">
        <v>9300</v>
      </c>
      <c r="G23" s="3">
        <f t="shared" si="0"/>
        <v>32050</v>
      </c>
      <c r="H23" s="2" t="str">
        <f t="shared" si="1"/>
        <v>CR</v>
      </c>
    </row>
    <row r="24" spans="1:8" ht="21" customHeight="1" x14ac:dyDescent="0.25">
      <c r="A24" s="19" t="s">
        <v>659</v>
      </c>
      <c r="B24" s="20" t="s">
        <v>659</v>
      </c>
      <c r="C24" s="22" t="s">
        <v>659</v>
      </c>
      <c r="D24" s="20" t="s">
        <v>561</v>
      </c>
      <c r="E24" s="21">
        <v>5000</v>
      </c>
      <c r="F24" s="21"/>
      <c r="G24" s="21">
        <f t="shared" si="0"/>
        <v>27050</v>
      </c>
      <c r="H24" s="2" t="str">
        <f t="shared" si="1"/>
        <v>CR</v>
      </c>
    </row>
    <row r="25" spans="1:8" ht="21" customHeight="1" x14ac:dyDescent="0.25">
      <c r="A25" s="19" t="s">
        <v>659</v>
      </c>
      <c r="B25" s="20" t="s">
        <v>659</v>
      </c>
      <c r="C25" s="22" t="s">
        <v>659</v>
      </c>
      <c r="D25" s="20" t="s">
        <v>577</v>
      </c>
      <c r="E25" s="21">
        <v>1500</v>
      </c>
      <c r="F25" s="21"/>
      <c r="G25" s="21">
        <f t="shared" si="0"/>
        <v>25550</v>
      </c>
      <c r="H25" s="2" t="str">
        <f t="shared" si="1"/>
        <v>CR</v>
      </c>
    </row>
    <row r="26" spans="1:8" ht="21" customHeight="1" x14ac:dyDescent="0.25">
      <c r="A26" s="9">
        <v>45426</v>
      </c>
      <c r="B26" s="2" t="s">
        <v>10</v>
      </c>
      <c r="C26" s="12" t="s">
        <v>660</v>
      </c>
      <c r="D26" s="2" t="s">
        <v>661</v>
      </c>
      <c r="E26" s="13"/>
      <c r="F26" s="21">
        <v>1650</v>
      </c>
      <c r="G26" s="3">
        <f t="shared" si="0"/>
        <v>27200</v>
      </c>
      <c r="H26" s="2" t="str">
        <f t="shared" si="1"/>
        <v>CR</v>
      </c>
    </row>
    <row r="27" spans="1:8" ht="21" customHeight="1" x14ac:dyDescent="0.25">
      <c r="A27" s="9">
        <v>45428</v>
      </c>
      <c r="B27" s="2" t="s">
        <v>10</v>
      </c>
      <c r="C27" s="12" t="s">
        <v>662</v>
      </c>
      <c r="D27" s="2" t="s">
        <v>663</v>
      </c>
      <c r="E27" s="13"/>
      <c r="F27" s="13">
        <v>4550</v>
      </c>
      <c r="G27" s="3">
        <f t="shared" si="0"/>
        <v>31750</v>
      </c>
      <c r="H27" s="2" t="str">
        <f t="shared" si="1"/>
        <v>CR</v>
      </c>
    </row>
    <row r="28" spans="1:8" ht="21" customHeight="1" x14ac:dyDescent="0.25">
      <c r="A28" s="9">
        <v>45432</v>
      </c>
      <c r="B28" s="2" t="s">
        <v>10</v>
      </c>
      <c r="C28" s="12" t="s">
        <v>664</v>
      </c>
      <c r="D28" s="2" t="s">
        <v>276</v>
      </c>
      <c r="E28" s="13"/>
      <c r="F28" s="13">
        <v>3650</v>
      </c>
      <c r="G28" s="3">
        <f t="shared" si="0"/>
        <v>35400</v>
      </c>
      <c r="H28" s="2" t="str">
        <f t="shared" si="1"/>
        <v>CR</v>
      </c>
    </row>
    <row r="29" spans="1:8" ht="21" customHeight="1" x14ac:dyDescent="0.25">
      <c r="A29" s="9">
        <v>45432</v>
      </c>
      <c r="B29" s="2" t="s">
        <v>10</v>
      </c>
      <c r="C29" s="28" t="s">
        <v>665</v>
      </c>
      <c r="D29" s="28" t="s">
        <v>666</v>
      </c>
      <c r="E29" s="13"/>
      <c r="F29" s="13">
        <v>3500</v>
      </c>
      <c r="G29" s="3">
        <f>G28+F29-E29</f>
        <v>38900</v>
      </c>
      <c r="H29" s="2" t="str">
        <f t="shared" si="1"/>
        <v>CR</v>
      </c>
    </row>
    <row r="30" spans="1:8" ht="21" customHeight="1" x14ac:dyDescent="0.25">
      <c r="A30" s="9">
        <v>45434</v>
      </c>
      <c r="B30" s="2" t="s">
        <v>10</v>
      </c>
      <c r="C30" s="2" t="s">
        <v>667</v>
      </c>
      <c r="D30" s="2" t="s">
        <v>666</v>
      </c>
      <c r="E30" s="13"/>
      <c r="F30" s="13">
        <v>3650</v>
      </c>
      <c r="G30" s="3">
        <f>G29+F30-E30</f>
        <v>42550</v>
      </c>
      <c r="H30" s="2" t="str">
        <f t="shared" si="1"/>
        <v>CR</v>
      </c>
    </row>
    <row r="31" spans="1:8" ht="21" customHeight="1" x14ac:dyDescent="0.25">
      <c r="A31" s="9">
        <v>45444</v>
      </c>
      <c r="B31" s="2" t="s">
        <v>10</v>
      </c>
      <c r="C31" s="2" t="s">
        <v>675</v>
      </c>
      <c r="D31" s="2" t="s">
        <v>676</v>
      </c>
      <c r="E31" s="13"/>
      <c r="F31" s="13">
        <v>2950</v>
      </c>
      <c r="G31" s="3">
        <f t="shared" si="0"/>
        <v>45500</v>
      </c>
      <c r="H31" s="2" t="str">
        <f t="shared" si="1"/>
        <v>CR</v>
      </c>
    </row>
    <row r="32" spans="1:8" ht="21" customHeight="1" x14ac:dyDescent="0.25">
      <c r="A32" s="9">
        <v>45446</v>
      </c>
      <c r="B32" s="2" t="s">
        <v>10</v>
      </c>
      <c r="C32" s="2" t="s">
        <v>679</v>
      </c>
      <c r="D32" s="2" t="s">
        <v>680</v>
      </c>
      <c r="E32" s="13"/>
      <c r="F32" s="13">
        <v>5200</v>
      </c>
      <c r="G32" s="3">
        <f t="shared" si="0"/>
        <v>50700</v>
      </c>
      <c r="H32" s="2" t="str">
        <f t="shared" si="1"/>
        <v>CR</v>
      </c>
    </row>
    <row r="33" spans="1:8" ht="21" customHeight="1" x14ac:dyDescent="0.25">
      <c r="A33" s="9">
        <v>45447</v>
      </c>
      <c r="B33" s="2" t="s">
        <v>10</v>
      </c>
      <c r="C33" s="2" t="s">
        <v>681</v>
      </c>
      <c r="D33" s="2" t="s">
        <v>682</v>
      </c>
      <c r="E33" s="13"/>
      <c r="F33" s="13">
        <v>3300</v>
      </c>
      <c r="G33" s="3">
        <f t="shared" si="0"/>
        <v>54000</v>
      </c>
      <c r="H33" s="2" t="str">
        <f t="shared" si="1"/>
        <v>CR</v>
      </c>
    </row>
    <row r="34" spans="1:8" ht="21" customHeight="1" x14ac:dyDescent="0.25">
      <c r="A34" s="9">
        <v>45447</v>
      </c>
      <c r="B34" s="2" t="s">
        <v>10</v>
      </c>
      <c r="C34" s="2" t="s">
        <v>683</v>
      </c>
      <c r="D34" s="2" t="s">
        <v>146</v>
      </c>
      <c r="E34" s="13"/>
      <c r="F34" s="13">
        <v>3650</v>
      </c>
      <c r="G34" s="3">
        <f t="shared" si="0"/>
        <v>57650</v>
      </c>
      <c r="H34" s="2" t="str">
        <f t="shared" si="1"/>
        <v>CR</v>
      </c>
    </row>
    <row r="35" spans="1:8" ht="21" customHeight="1" x14ac:dyDescent="0.25">
      <c r="A35" s="9">
        <v>45448</v>
      </c>
      <c r="B35" s="2" t="s">
        <v>10</v>
      </c>
      <c r="C35" s="2" t="s">
        <v>684</v>
      </c>
      <c r="D35" s="2" t="s">
        <v>685</v>
      </c>
      <c r="E35" s="13"/>
      <c r="F35" s="13">
        <v>1500</v>
      </c>
      <c r="G35" s="3">
        <f t="shared" si="0"/>
        <v>59150</v>
      </c>
      <c r="H35" s="2" t="str">
        <f t="shared" si="1"/>
        <v>CR</v>
      </c>
    </row>
    <row r="36" spans="1:8" ht="21" customHeight="1" x14ac:dyDescent="0.25">
      <c r="A36" s="10"/>
      <c r="B36" s="4"/>
      <c r="C36" s="4"/>
      <c r="D36" s="4" t="s">
        <v>9</v>
      </c>
      <c r="E36" s="5">
        <f>SUM(E6:E35)</f>
        <v>58300</v>
      </c>
      <c r="F36" s="5">
        <f>SUM(F6:F35)</f>
        <v>106250</v>
      </c>
      <c r="G36" s="5">
        <f>G5+F36-E36</f>
        <v>59150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hyperlinks>
    <hyperlink ref="J1" location="'PAYABLES-2024'!A1" display="PAYABLE HOME" xr:uid="{6D3A3E5F-3FAD-4E97-A042-73D9D2193626}"/>
  </hyperlinks>
  <printOptions horizontalCentered="1"/>
  <pageMargins left="0.7" right="0.7" top="0.75" bottom="0.75" header="0.3" footer="0.3"/>
  <pageSetup paperSize="9" scale="84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73AE-6B6D-4268-A994-DB0DA8C5D3C4}">
  <sheetPr>
    <pageSetUpPr fitToPage="1"/>
  </sheetPr>
  <dimension ref="A1:J36"/>
  <sheetViews>
    <sheetView zoomScaleNormal="100" workbookViewId="0">
      <pane ySplit="4" topLeftCell="A20" activePane="bottomLeft" state="frozen"/>
      <selection pane="bottomLeft" activeCell="D34" sqref="D34"/>
    </sheetView>
  </sheetViews>
  <sheetFormatPr defaultRowHeight="15" x14ac:dyDescent="0.25"/>
  <cols>
    <col min="1" max="1" width="12.7109375" style="11" bestFit="1" customWidth="1"/>
    <col min="2" max="2" width="12.7109375" bestFit="1" customWidth="1"/>
    <col min="3" max="3" width="19.5703125" bestFit="1" customWidth="1"/>
    <col min="4" max="4" width="39.140625" customWidth="1"/>
    <col min="5" max="6" width="9" style="1" bestFit="1" customWidth="1"/>
    <col min="7" max="7" width="9.85546875" style="1" customWidth="1"/>
    <col min="8" max="8" width="4.140625" customWidth="1"/>
    <col min="10" max="10" width="14.7109375" bestFit="1" customWidth="1"/>
  </cols>
  <sheetData>
    <row r="1" spans="1:10" ht="15.75" x14ac:dyDescent="0.25">
      <c r="A1" s="100" t="s">
        <v>0</v>
      </c>
      <c r="B1" s="100"/>
      <c r="C1" s="100"/>
      <c r="D1" s="100"/>
      <c r="E1" s="100"/>
      <c r="F1" s="100"/>
      <c r="G1" s="100"/>
      <c r="H1" s="100"/>
      <c r="J1" s="42" t="s">
        <v>670</v>
      </c>
    </row>
    <row r="2" spans="1:10" ht="15.75" x14ac:dyDescent="0.25">
      <c r="A2" s="100" t="s">
        <v>12</v>
      </c>
      <c r="B2" s="100"/>
      <c r="C2" s="100"/>
      <c r="D2" s="100"/>
      <c r="E2" s="100"/>
      <c r="F2" s="100"/>
      <c r="G2" s="100"/>
      <c r="H2" s="100"/>
    </row>
    <row r="3" spans="1:10" x14ac:dyDescent="0.25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10" ht="21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6" t="s">
        <v>5</v>
      </c>
      <c r="F4" s="16" t="s">
        <v>6</v>
      </c>
      <c r="G4" s="102" t="s">
        <v>7</v>
      </c>
      <c r="H4" s="102"/>
    </row>
    <row r="5" spans="1:10" ht="21" customHeight="1" x14ac:dyDescent="0.25">
      <c r="A5" s="9"/>
      <c r="B5" s="2"/>
      <c r="C5" s="2"/>
      <c r="D5" s="2" t="s">
        <v>79</v>
      </c>
      <c r="E5" s="3"/>
      <c r="F5" s="3"/>
      <c r="G5" s="3">
        <f>'AL AZIZ-LHR-13'!G36</f>
        <v>59150</v>
      </c>
      <c r="H5" s="2"/>
    </row>
    <row r="6" spans="1:10" ht="21" customHeight="1" x14ac:dyDescent="0.25">
      <c r="A6" s="9">
        <v>45449</v>
      </c>
      <c r="B6" s="2" t="s">
        <v>10</v>
      </c>
      <c r="C6" s="2" t="s">
        <v>687</v>
      </c>
      <c r="D6" s="2" t="s">
        <v>688</v>
      </c>
      <c r="E6" s="13"/>
      <c r="F6" s="13">
        <v>1150</v>
      </c>
      <c r="G6" s="3">
        <f>G5+F6-E6</f>
        <v>60300</v>
      </c>
      <c r="H6" s="2" t="str">
        <f>IF(G6=0,"NIL",IF(G6&gt;0,"CR","DR"))</f>
        <v>CR</v>
      </c>
    </row>
    <row r="7" spans="1:10" ht="21" customHeight="1" x14ac:dyDescent="0.25">
      <c r="A7" s="9">
        <v>45456</v>
      </c>
      <c r="B7" s="2" t="s">
        <v>8</v>
      </c>
      <c r="C7" s="2" t="s">
        <v>8</v>
      </c>
      <c r="D7" s="2" t="s">
        <v>690</v>
      </c>
      <c r="E7" s="13">
        <v>32200</v>
      </c>
      <c r="F7" s="13">
        <v>0</v>
      </c>
      <c r="G7" s="3">
        <f t="shared" ref="G7:G35" si="0">G6+F7-E7</f>
        <v>28100</v>
      </c>
      <c r="H7" s="2" t="str">
        <f t="shared" ref="H7:H36" si="1">IF(G7=0,"NIL",IF(G7&gt;0,"CR","DR"))</f>
        <v>CR</v>
      </c>
    </row>
    <row r="8" spans="1:10" ht="21" customHeight="1" x14ac:dyDescent="0.25">
      <c r="A8" s="9">
        <v>45456</v>
      </c>
      <c r="B8" s="2" t="s">
        <v>10</v>
      </c>
      <c r="C8" s="2" t="s">
        <v>691</v>
      </c>
      <c r="D8" s="2" t="s">
        <v>692</v>
      </c>
      <c r="E8" s="13"/>
      <c r="F8" s="13">
        <v>6300</v>
      </c>
      <c r="G8" s="3">
        <f t="shared" si="0"/>
        <v>34400</v>
      </c>
      <c r="H8" s="2" t="str">
        <f t="shared" si="1"/>
        <v>CR</v>
      </c>
    </row>
    <row r="9" spans="1:10" ht="21" customHeight="1" x14ac:dyDescent="0.25">
      <c r="A9" s="9">
        <v>45456</v>
      </c>
      <c r="B9" s="2" t="s">
        <v>10</v>
      </c>
      <c r="C9" s="2" t="s">
        <v>693</v>
      </c>
      <c r="D9" s="2" t="s">
        <v>694</v>
      </c>
      <c r="E9" s="13"/>
      <c r="F9" s="13">
        <v>4100</v>
      </c>
      <c r="G9" s="3">
        <f t="shared" si="0"/>
        <v>38500</v>
      </c>
      <c r="H9" s="2" t="str">
        <f t="shared" si="1"/>
        <v>CR</v>
      </c>
    </row>
    <row r="10" spans="1:10" ht="21" customHeight="1" x14ac:dyDescent="0.25">
      <c r="A10" s="9">
        <v>45464</v>
      </c>
      <c r="B10" s="2" t="s">
        <v>10</v>
      </c>
      <c r="C10" s="2" t="s">
        <v>695</v>
      </c>
      <c r="D10" s="2" t="s">
        <v>696</v>
      </c>
      <c r="E10" s="13"/>
      <c r="F10" s="13">
        <v>8800</v>
      </c>
      <c r="G10" s="3">
        <f t="shared" si="0"/>
        <v>47300</v>
      </c>
      <c r="H10" s="2" t="str">
        <f t="shared" si="1"/>
        <v>CR</v>
      </c>
    </row>
    <row r="11" spans="1:10" ht="21" customHeight="1" x14ac:dyDescent="0.25">
      <c r="A11" s="9">
        <v>45465</v>
      </c>
      <c r="B11" s="2" t="s">
        <v>10</v>
      </c>
      <c r="C11" s="2" t="s">
        <v>697</v>
      </c>
      <c r="D11" s="2" t="s">
        <v>698</v>
      </c>
      <c r="E11" s="13"/>
      <c r="F11" s="13">
        <v>5650</v>
      </c>
      <c r="G11" s="3">
        <f t="shared" si="0"/>
        <v>52950</v>
      </c>
      <c r="H11" s="2" t="str">
        <f t="shared" si="1"/>
        <v>CR</v>
      </c>
    </row>
    <row r="12" spans="1:10" ht="21" customHeight="1" x14ac:dyDescent="0.25">
      <c r="A12" s="9">
        <v>45465</v>
      </c>
      <c r="B12" s="2" t="s">
        <v>10</v>
      </c>
      <c r="C12" s="2" t="s">
        <v>699</v>
      </c>
      <c r="D12" s="2" t="s">
        <v>700</v>
      </c>
      <c r="E12" s="13"/>
      <c r="F12" s="13">
        <v>4300</v>
      </c>
      <c r="G12" s="3">
        <f t="shared" si="0"/>
        <v>57250</v>
      </c>
      <c r="H12" s="2" t="str">
        <f t="shared" si="1"/>
        <v>CR</v>
      </c>
    </row>
    <row r="13" spans="1:10" ht="21" customHeight="1" x14ac:dyDescent="0.25">
      <c r="A13" s="9">
        <v>45471</v>
      </c>
      <c r="B13" s="2" t="s">
        <v>10</v>
      </c>
      <c r="C13" s="2" t="s">
        <v>701</v>
      </c>
      <c r="D13" s="2" t="s">
        <v>144</v>
      </c>
      <c r="E13" s="13"/>
      <c r="F13" s="13">
        <v>3650</v>
      </c>
      <c r="G13" s="3">
        <f t="shared" si="0"/>
        <v>60900</v>
      </c>
      <c r="H13" s="2" t="str">
        <f t="shared" si="1"/>
        <v>CR</v>
      </c>
    </row>
    <row r="14" spans="1:10" ht="21" customHeight="1" x14ac:dyDescent="0.25">
      <c r="A14" s="9">
        <v>45476</v>
      </c>
      <c r="B14" s="2" t="s">
        <v>10</v>
      </c>
      <c r="C14" s="2" t="s">
        <v>703</v>
      </c>
      <c r="D14" s="12" t="s">
        <v>218</v>
      </c>
      <c r="E14" s="13"/>
      <c r="F14" s="13">
        <v>3350</v>
      </c>
      <c r="G14" s="13">
        <f t="shared" si="0"/>
        <v>64250</v>
      </c>
      <c r="H14" s="2" t="str">
        <f t="shared" si="1"/>
        <v>CR</v>
      </c>
    </row>
    <row r="15" spans="1:10" ht="21" customHeight="1" x14ac:dyDescent="0.25">
      <c r="A15" s="9">
        <v>45483</v>
      </c>
      <c r="B15" s="2" t="s">
        <v>10</v>
      </c>
      <c r="C15" s="2" t="s">
        <v>708</v>
      </c>
      <c r="D15" s="2" t="s">
        <v>709</v>
      </c>
      <c r="E15" s="13"/>
      <c r="F15" s="13">
        <v>1650</v>
      </c>
      <c r="G15" s="3">
        <f t="shared" si="0"/>
        <v>65900</v>
      </c>
      <c r="H15" s="2" t="str">
        <f t="shared" si="1"/>
        <v>CR</v>
      </c>
    </row>
    <row r="16" spans="1:10" ht="21" customHeight="1" x14ac:dyDescent="0.25">
      <c r="A16" s="9">
        <v>45485</v>
      </c>
      <c r="B16" s="2" t="s">
        <v>10</v>
      </c>
      <c r="C16" s="2" t="s">
        <v>716</v>
      </c>
      <c r="D16" s="2" t="s">
        <v>410</v>
      </c>
      <c r="E16" s="13"/>
      <c r="F16" s="13">
        <v>2350</v>
      </c>
      <c r="G16" s="3">
        <f t="shared" si="0"/>
        <v>68250</v>
      </c>
      <c r="H16" s="2" t="str">
        <f t="shared" si="1"/>
        <v>CR</v>
      </c>
    </row>
    <row r="17" spans="1:8" ht="21" customHeight="1" x14ac:dyDescent="0.25">
      <c r="A17" s="9">
        <v>45497</v>
      </c>
      <c r="B17" s="2" t="s">
        <v>8</v>
      </c>
      <c r="C17" s="2" t="s">
        <v>8</v>
      </c>
      <c r="D17" s="2" t="s">
        <v>690</v>
      </c>
      <c r="E17" s="13">
        <v>33250</v>
      </c>
      <c r="F17" s="13">
        <v>0</v>
      </c>
      <c r="G17" s="3">
        <f t="shared" si="0"/>
        <v>35000</v>
      </c>
      <c r="H17" s="2" t="str">
        <f t="shared" si="1"/>
        <v>CR</v>
      </c>
    </row>
    <row r="18" spans="1:8" ht="21" customHeight="1" x14ac:dyDescent="0.25">
      <c r="A18" s="9">
        <v>45502</v>
      </c>
      <c r="B18" s="2" t="s">
        <v>10</v>
      </c>
      <c r="C18" s="2" t="s">
        <v>724</v>
      </c>
      <c r="D18" s="2" t="s">
        <v>725</v>
      </c>
      <c r="E18" s="13">
        <v>0</v>
      </c>
      <c r="F18" s="13">
        <v>3150</v>
      </c>
      <c r="G18" s="3">
        <f>G17+F18-E18</f>
        <v>38150</v>
      </c>
      <c r="H18" s="2" t="str">
        <f t="shared" si="1"/>
        <v>CR</v>
      </c>
    </row>
    <row r="19" spans="1:8" ht="21" customHeight="1" x14ac:dyDescent="0.25">
      <c r="A19" s="9">
        <v>45503</v>
      </c>
      <c r="B19" s="2" t="s">
        <v>10</v>
      </c>
      <c r="C19" s="2" t="s">
        <v>722</v>
      </c>
      <c r="D19" s="2" t="s">
        <v>723</v>
      </c>
      <c r="E19" s="13">
        <v>0</v>
      </c>
      <c r="F19" s="13">
        <v>3150</v>
      </c>
      <c r="G19" s="3">
        <f t="shared" si="0"/>
        <v>41300</v>
      </c>
      <c r="H19" s="2" t="str">
        <f t="shared" si="1"/>
        <v>CR</v>
      </c>
    </row>
    <row r="20" spans="1:8" ht="21" customHeight="1" x14ac:dyDescent="0.25">
      <c r="A20" s="9">
        <v>45517</v>
      </c>
      <c r="B20" s="2" t="s">
        <v>10</v>
      </c>
      <c r="C20" s="2" t="s">
        <v>735</v>
      </c>
      <c r="D20" s="2" t="s">
        <v>734</v>
      </c>
      <c r="E20" s="13">
        <v>0</v>
      </c>
      <c r="F20" s="13">
        <v>6950</v>
      </c>
      <c r="G20" s="3">
        <f t="shared" si="0"/>
        <v>48250</v>
      </c>
      <c r="H20" s="2" t="str">
        <f t="shared" si="1"/>
        <v>CR</v>
      </c>
    </row>
    <row r="21" spans="1:8" ht="21" customHeight="1" x14ac:dyDescent="0.25">
      <c r="A21" s="9">
        <v>45519</v>
      </c>
      <c r="B21" s="2" t="s">
        <v>10</v>
      </c>
      <c r="C21" s="2" t="s">
        <v>737</v>
      </c>
      <c r="D21" s="2" t="s">
        <v>738</v>
      </c>
      <c r="E21" s="13">
        <v>0</v>
      </c>
      <c r="F21" s="13">
        <v>8000</v>
      </c>
      <c r="G21" s="3">
        <f t="shared" si="0"/>
        <v>56250</v>
      </c>
      <c r="H21" s="2" t="str">
        <f t="shared" si="1"/>
        <v>CR</v>
      </c>
    </row>
    <row r="22" spans="1:8" ht="21" customHeight="1" x14ac:dyDescent="0.25">
      <c r="A22" s="9">
        <v>45527</v>
      </c>
      <c r="B22" s="2" t="s">
        <v>10</v>
      </c>
      <c r="C22" s="2" t="s">
        <v>743</v>
      </c>
      <c r="D22" s="2" t="s">
        <v>744</v>
      </c>
      <c r="E22" s="13">
        <v>0</v>
      </c>
      <c r="F22" s="13">
        <v>15500</v>
      </c>
      <c r="G22" s="3">
        <f t="shared" si="0"/>
        <v>71750</v>
      </c>
      <c r="H22" s="2" t="str">
        <f t="shared" si="1"/>
        <v>CR</v>
      </c>
    </row>
    <row r="23" spans="1:8" ht="21" customHeight="1" x14ac:dyDescent="0.25">
      <c r="A23" s="9" t="s">
        <v>745</v>
      </c>
      <c r="B23" s="9" t="s">
        <v>745</v>
      </c>
      <c r="C23" s="9" t="s">
        <v>745</v>
      </c>
      <c r="D23" s="9" t="s">
        <v>746</v>
      </c>
      <c r="E23" s="13">
        <v>0</v>
      </c>
      <c r="F23" s="13">
        <v>2340</v>
      </c>
      <c r="G23" s="3">
        <f t="shared" si="0"/>
        <v>74090</v>
      </c>
      <c r="H23" s="2" t="str">
        <f t="shared" si="1"/>
        <v>CR</v>
      </c>
    </row>
    <row r="24" spans="1:8" ht="21" customHeight="1" x14ac:dyDescent="0.25">
      <c r="A24" s="9">
        <v>45549</v>
      </c>
      <c r="B24" s="2" t="s">
        <v>10</v>
      </c>
      <c r="C24" s="12" t="s">
        <v>747</v>
      </c>
      <c r="D24" s="2" t="s">
        <v>748</v>
      </c>
      <c r="E24" s="13">
        <v>0</v>
      </c>
      <c r="F24" s="13">
        <v>3350</v>
      </c>
      <c r="G24" s="13">
        <f t="shared" si="0"/>
        <v>77440</v>
      </c>
      <c r="H24" s="2" t="str">
        <f t="shared" si="1"/>
        <v>CR</v>
      </c>
    </row>
    <row r="25" spans="1:8" ht="21" customHeight="1" x14ac:dyDescent="0.25">
      <c r="A25" s="9">
        <v>45554</v>
      </c>
      <c r="B25" s="2" t="s">
        <v>8</v>
      </c>
      <c r="C25" s="2" t="s">
        <v>8</v>
      </c>
      <c r="D25" s="2" t="s">
        <v>690</v>
      </c>
      <c r="E25" s="13">
        <v>47440</v>
      </c>
      <c r="F25" s="13">
        <v>0</v>
      </c>
      <c r="G25" s="13">
        <f t="shared" si="0"/>
        <v>30000</v>
      </c>
      <c r="H25" s="2" t="str">
        <f t="shared" si="1"/>
        <v>CR</v>
      </c>
    </row>
    <row r="26" spans="1:8" ht="21" customHeight="1" x14ac:dyDescent="0.25">
      <c r="A26" s="9">
        <v>45572</v>
      </c>
      <c r="B26" s="2" t="s">
        <v>8</v>
      </c>
      <c r="C26" s="2" t="s">
        <v>8</v>
      </c>
      <c r="D26" s="2" t="s">
        <v>690</v>
      </c>
      <c r="E26" s="13">
        <v>30000</v>
      </c>
      <c r="F26" s="13">
        <v>0</v>
      </c>
      <c r="G26" s="21">
        <f t="shared" si="0"/>
        <v>0</v>
      </c>
      <c r="H26" s="20" t="str">
        <f t="shared" si="1"/>
        <v>NIL</v>
      </c>
    </row>
    <row r="27" spans="1:8" ht="21" customHeight="1" x14ac:dyDescent="0.25">
      <c r="A27" s="9">
        <v>45575</v>
      </c>
      <c r="B27" s="2" t="s">
        <v>10</v>
      </c>
      <c r="C27" s="12" t="s">
        <v>770</v>
      </c>
      <c r="D27" s="2" t="s">
        <v>771</v>
      </c>
      <c r="E27" s="13"/>
      <c r="F27" s="13">
        <v>4150</v>
      </c>
      <c r="G27" s="3">
        <f t="shared" si="0"/>
        <v>4150</v>
      </c>
      <c r="H27" s="2" t="str">
        <f t="shared" si="1"/>
        <v>CR</v>
      </c>
    </row>
    <row r="28" spans="1:8" ht="21" customHeight="1" x14ac:dyDescent="0.25">
      <c r="A28" s="9">
        <v>45579</v>
      </c>
      <c r="B28" s="2" t="s">
        <v>10</v>
      </c>
      <c r="C28" s="12" t="s">
        <v>776</v>
      </c>
      <c r="D28" s="2" t="s">
        <v>777</v>
      </c>
      <c r="E28" s="13"/>
      <c r="F28" s="13">
        <v>3350</v>
      </c>
      <c r="G28" s="3">
        <f t="shared" si="0"/>
        <v>7500</v>
      </c>
      <c r="H28" s="2" t="str">
        <f t="shared" si="1"/>
        <v>CR</v>
      </c>
    </row>
    <row r="29" spans="1:8" ht="21" customHeight="1" x14ac:dyDescent="0.25">
      <c r="A29" s="9">
        <v>45582</v>
      </c>
      <c r="B29" s="2" t="s">
        <v>10</v>
      </c>
      <c r="C29" s="12" t="s">
        <v>781</v>
      </c>
      <c r="D29" s="2" t="s">
        <v>326</v>
      </c>
      <c r="E29" s="13"/>
      <c r="F29" s="13">
        <v>2150</v>
      </c>
      <c r="G29" s="3">
        <f>G28+F29-E29</f>
        <v>9650</v>
      </c>
      <c r="H29" s="2" t="str">
        <f t="shared" si="1"/>
        <v>CR</v>
      </c>
    </row>
    <row r="30" spans="1:8" ht="21" customHeight="1" x14ac:dyDescent="0.25">
      <c r="A30" s="9">
        <v>45583</v>
      </c>
      <c r="B30" s="2" t="s">
        <v>10</v>
      </c>
      <c r="C30" s="12" t="s">
        <v>779</v>
      </c>
      <c r="D30" s="2" t="s">
        <v>780</v>
      </c>
      <c r="E30" s="13"/>
      <c r="F30" s="13">
        <v>3350</v>
      </c>
      <c r="G30" s="3">
        <f>G29+F30-E30</f>
        <v>13000</v>
      </c>
      <c r="H30" s="2" t="str">
        <f t="shared" si="1"/>
        <v>CR</v>
      </c>
    </row>
    <row r="31" spans="1:8" ht="21" customHeight="1" x14ac:dyDescent="0.25">
      <c r="A31" s="9">
        <v>45586</v>
      </c>
      <c r="B31" s="2" t="s">
        <v>8</v>
      </c>
      <c r="C31" s="2" t="s">
        <v>8</v>
      </c>
      <c r="D31" s="2" t="s">
        <v>690</v>
      </c>
      <c r="E31" s="13">
        <v>13000</v>
      </c>
      <c r="F31" s="13"/>
      <c r="G31" s="21">
        <f t="shared" si="0"/>
        <v>0</v>
      </c>
      <c r="H31" s="20" t="str">
        <f t="shared" si="1"/>
        <v>NIL</v>
      </c>
    </row>
    <row r="32" spans="1:8" ht="21" customHeight="1" x14ac:dyDescent="0.25">
      <c r="A32" s="9">
        <v>45607</v>
      </c>
      <c r="B32" s="2" t="s">
        <v>10</v>
      </c>
      <c r="C32" s="2" t="s">
        <v>840</v>
      </c>
      <c r="D32" s="2" t="s">
        <v>723</v>
      </c>
      <c r="E32" s="13">
        <v>0</v>
      </c>
      <c r="F32" s="13">
        <v>3350</v>
      </c>
      <c r="G32" s="3">
        <f t="shared" si="0"/>
        <v>3350</v>
      </c>
      <c r="H32" s="2" t="str">
        <f t="shared" si="1"/>
        <v>CR</v>
      </c>
    </row>
    <row r="33" spans="1:8" ht="21" customHeight="1" x14ac:dyDescent="0.25">
      <c r="A33" s="9">
        <v>45644</v>
      </c>
      <c r="B33" s="2" t="s">
        <v>10</v>
      </c>
      <c r="C33" s="2" t="s">
        <v>873</v>
      </c>
      <c r="D33" s="2" t="s">
        <v>874</v>
      </c>
      <c r="E33" s="13"/>
      <c r="F33" s="13">
        <v>2950</v>
      </c>
      <c r="G33" s="3">
        <f t="shared" si="0"/>
        <v>6300</v>
      </c>
      <c r="H33" s="2" t="str">
        <f t="shared" si="1"/>
        <v>CR</v>
      </c>
    </row>
    <row r="34" spans="1:8" ht="21" customHeight="1" x14ac:dyDescent="0.25">
      <c r="A34" s="9">
        <v>45670</v>
      </c>
      <c r="B34" s="2" t="s">
        <v>8</v>
      </c>
      <c r="C34" s="2" t="s">
        <v>8</v>
      </c>
      <c r="D34" s="2" t="s">
        <v>690</v>
      </c>
      <c r="E34" s="13">
        <v>6300</v>
      </c>
      <c r="F34" s="13"/>
      <c r="G34" s="3">
        <f t="shared" si="0"/>
        <v>0</v>
      </c>
      <c r="H34" s="2" t="str">
        <f t="shared" si="1"/>
        <v>NIL</v>
      </c>
    </row>
    <row r="35" spans="1:8" ht="21" customHeight="1" x14ac:dyDescent="0.25">
      <c r="A35" s="9">
        <v>45677</v>
      </c>
      <c r="B35" s="2" t="s">
        <v>10</v>
      </c>
      <c r="C35" s="2" t="s">
        <v>888</v>
      </c>
      <c r="D35" s="2" t="s">
        <v>889</v>
      </c>
      <c r="E35" s="13"/>
      <c r="F35" s="13">
        <v>3150</v>
      </c>
      <c r="G35" s="3">
        <f t="shared" si="0"/>
        <v>3150</v>
      </c>
      <c r="H35" s="2" t="str">
        <f t="shared" si="1"/>
        <v>CR</v>
      </c>
    </row>
    <row r="36" spans="1:8" ht="21" customHeight="1" x14ac:dyDescent="0.25">
      <c r="A36" s="10"/>
      <c r="B36" s="4"/>
      <c r="C36" s="4"/>
      <c r="D36" s="4" t="s">
        <v>9</v>
      </c>
      <c r="E36" s="5">
        <f>SUM(E6:E35)</f>
        <v>162190</v>
      </c>
      <c r="F36" s="5">
        <f>SUM(F6:F35)</f>
        <v>106190</v>
      </c>
      <c r="G36" s="5">
        <f>G5+F36-E36</f>
        <v>3150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hyperlinks>
    <hyperlink ref="J1" location="'PAYABLES-2024'!A1" display="PAYABLE HOME" xr:uid="{08A51EEA-0551-4779-A875-6FAEF2EB4E24}"/>
  </hyperlinks>
  <printOptions horizontalCentered="1"/>
  <pageMargins left="0.7" right="0.7" top="0.75" bottom="0.75" header="0.3" footer="0.3"/>
  <pageSetup paperSize="9" scale="84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0CD0-A6CB-480F-A8FB-CFF422E36184}">
  <sheetPr>
    <pageSetUpPr fitToPage="1"/>
  </sheetPr>
  <dimension ref="A1:J36"/>
  <sheetViews>
    <sheetView zoomScaleNormal="100" workbookViewId="0">
      <pane ySplit="4" topLeftCell="A5" activePane="bottomLeft" state="frozen"/>
      <selection pane="bottomLeft" activeCell="C34" sqref="C34"/>
    </sheetView>
  </sheetViews>
  <sheetFormatPr defaultRowHeight="15" x14ac:dyDescent="0.25"/>
  <cols>
    <col min="1" max="1" width="12.7109375" style="11" bestFit="1" customWidth="1"/>
    <col min="2" max="2" width="13.28515625" bestFit="1" customWidth="1"/>
    <col min="3" max="3" width="19.5703125" bestFit="1" customWidth="1"/>
    <col min="4" max="4" width="39.140625" customWidth="1"/>
    <col min="5" max="6" width="9" style="1" bestFit="1" customWidth="1"/>
    <col min="7" max="7" width="9.85546875" style="1" customWidth="1"/>
    <col min="8" max="8" width="4.140625" customWidth="1"/>
    <col min="10" max="10" width="14.7109375" bestFit="1" customWidth="1"/>
  </cols>
  <sheetData>
    <row r="1" spans="1:10" ht="15.75" x14ac:dyDescent="0.25">
      <c r="A1" s="100" t="s">
        <v>0</v>
      </c>
      <c r="B1" s="100"/>
      <c r="C1" s="100"/>
      <c r="D1" s="100"/>
      <c r="E1" s="100"/>
      <c r="F1" s="100"/>
      <c r="G1" s="100"/>
      <c r="H1" s="100"/>
      <c r="J1" s="42" t="s">
        <v>670</v>
      </c>
    </row>
    <row r="2" spans="1:10" ht="15.75" x14ac:dyDescent="0.25">
      <c r="A2" s="100" t="s">
        <v>12</v>
      </c>
      <c r="B2" s="100"/>
      <c r="C2" s="100"/>
      <c r="D2" s="100"/>
      <c r="E2" s="100"/>
      <c r="F2" s="100"/>
      <c r="G2" s="100"/>
      <c r="H2" s="100"/>
    </row>
    <row r="3" spans="1:10" x14ac:dyDescent="0.25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10" ht="21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6" t="s">
        <v>5</v>
      </c>
      <c r="F4" s="16" t="s">
        <v>6</v>
      </c>
      <c r="G4" s="102" t="s">
        <v>7</v>
      </c>
      <c r="H4" s="102"/>
    </row>
    <row r="5" spans="1:10" ht="21" customHeight="1" x14ac:dyDescent="0.25">
      <c r="A5" s="9"/>
      <c r="B5" s="2"/>
      <c r="C5" s="2"/>
      <c r="D5" s="2" t="s">
        <v>79</v>
      </c>
      <c r="E5" s="3"/>
      <c r="F5" s="3"/>
      <c r="G5" s="3">
        <f>'AL AZIZ-LHR-14 '!G36</f>
        <v>3150</v>
      </c>
      <c r="H5" s="2"/>
    </row>
    <row r="6" spans="1:10" ht="21" customHeight="1" x14ac:dyDescent="0.25">
      <c r="A6" s="9">
        <v>45685</v>
      </c>
      <c r="B6" s="2" t="s">
        <v>10</v>
      </c>
      <c r="C6" s="2" t="s">
        <v>893</v>
      </c>
      <c r="D6" s="2" t="s">
        <v>894</v>
      </c>
      <c r="E6" s="13"/>
      <c r="F6" s="13">
        <v>8750</v>
      </c>
      <c r="G6" s="3">
        <f>G5+F6-E6</f>
        <v>11900</v>
      </c>
      <c r="H6" s="2" t="str">
        <f>IF(G6=0,"NIL",IF(G6&gt;0,"CR","DR"))</f>
        <v>CR</v>
      </c>
    </row>
    <row r="7" spans="1:10" ht="21" customHeight="1" x14ac:dyDescent="0.25">
      <c r="A7" s="9">
        <v>45690</v>
      </c>
      <c r="B7" s="2" t="s">
        <v>10</v>
      </c>
      <c r="C7" s="2" t="s">
        <v>899</v>
      </c>
      <c r="D7" s="2" t="s">
        <v>900</v>
      </c>
      <c r="E7" s="13"/>
      <c r="F7" s="13">
        <v>5700</v>
      </c>
      <c r="G7" s="3">
        <f t="shared" ref="G7:G35" si="0">G6+F7-E7</f>
        <v>17600</v>
      </c>
      <c r="H7" s="2" t="str">
        <f t="shared" ref="H7:H36" si="1">IF(G7=0,"NIL",IF(G7&gt;0,"CR","DR"))</f>
        <v>CR</v>
      </c>
    </row>
    <row r="8" spans="1:10" ht="21" customHeight="1" x14ac:dyDescent="0.25">
      <c r="A8" s="9">
        <v>45691</v>
      </c>
      <c r="B8" s="2" t="s">
        <v>634</v>
      </c>
      <c r="C8" s="2" t="s">
        <v>8</v>
      </c>
      <c r="D8" s="2" t="s">
        <v>690</v>
      </c>
      <c r="E8" s="13">
        <v>17600</v>
      </c>
      <c r="F8" s="13"/>
      <c r="G8" s="3">
        <f t="shared" si="0"/>
        <v>0</v>
      </c>
      <c r="H8" s="2" t="str">
        <f t="shared" si="1"/>
        <v>NIL</v>
      </c>
    </row>
    <row r="9" spans="1:10" ht="21" customHeight="1" x14ac:dyDescent="0.25">
      <c r="A9" s="9">
        <v>45696</v>
      </c>
      <c r="B9" s="2" t="s">
        <v>10</v>
      </c>
      <c r="C9" s="2" t="s">
        <v>902</v>
      </c>
      <c r="D9" s="2" t="s">
        <v>903</v>
      </c>
      <c r="E9" s="13"/>
      <c r="F9" s="13">
        <v>10000</v>
      </c>
      <c r="G9" s="3">
        <f t="shared" si="0"/>
        <v>10000</v>
      </c>
      <c r="H9" s="2" t="str">
        <f t="shared" si="1"/>
        <v>CR</v>
      </c>
    </row>
    <row r="10" spans="1:10" ht="21" customHeight="1" x14ac:dyDescent="0.25">
      <c r="A10" s="9">
        <v>45698</v>
      </c>
      <c r="B10" s="2" t="s">
        <v>10</v>
      </c>
      <c r="C10" s="2" t="s">
        <v>905</v>
      </c>
      <c r="D10" s="2" t="s">
        <v>906</v>
      </c>
      <c r="E10" s="13"/>
      <c r="F10" s="13">
        <v>6150</v>
      </c>
      <c r="G10" s="3">
        <f t="shared" si="0"/>
        <v>16150</v>
      </c>
      <c r="H10" s="2" t="str">
        <f t="shared" si="1"/>
        <v>CR</v>
      </c>
    </row>
    <row r="11" spans="1:10" ht="21" customHeight="1" x14ac:dyDescent="0.25">
      <c r="A11" s="9">
        <v>45691</v>
      </c>
      <c r="B11" s="2" t="s">
        <v>10</v>
      </c>
      <c r="C11" s="2" t="s">
        <v>907</v>
      </c>
      <c r="D11" s="2" t="s">
        <v>908</v>
      </c>
      <c r="E11" s="13"/>
      <c r="F11" s="13">
        <v>3000</v>
      </c>
      <c r="G11" s="3">
        <f t="shared" si="0"/>
        <v>19150</v>
      </c>
      <c r="H11" s="2" t="str">
        <f t="shared" si="1"/>
        <v>CR</v>
      </c>
    </row>
    <row r="12" spans="1:10" ht="21" customHeight="1" x14ac:dyDescent="0.25">
      <c r="A12" s="9">
        <v>45700</v>
      </c>
      <c r="B12" s="2" t="s">
        <v>764</v>
      </c>
      <c r="C12" s="2" t="s">
        <v>909</v>
      </c>
      <c r="D12" s="2" t="s">
        <v>910</v>
      </c>
      <c r="E12" s="13">
        <v>6000</v>
      </c>
      <c r="F12" s="13"/>
      <c r="G12" s="3">
        <f t="shared" si="0"/>
        <v>13150</v>
      </c>
      <c r="H12" s="2" t="str">
        <f t="shared" si="1"/>
        <v>CR</v>
      </c>
    </row>
    <row r="13" spans="1:10" ht="21" customHeight="1" x14ac:dyDescent="0.25">
      <c r="A13" s="9">
        <v>45693</v>
      </c>
      <c r="B13" s="2" t="s">
        <v>634</v>
      </c>
      <c r="C13" s="2" t="s">
        <v>8</v>
      </c>
      <c r="D13" s="2" t="s">
        <v>690</v>
      </c>
      <c r="E13" s="13">
        <v>13150</v>
      </c>
      <c r="F13" s="13"/>
      <c r="G13" s="3">
        <f t="shared" si="0"/>
        <v>0</v>
      </c>
      <c r="H13" s="2" t="str">
        <f t="shared" si="1"/>
        <v>NIL</v>
      </c>
    </row>
    <row r="14" spans="1:10" ht="21" customHeight="1" x14ac:dyDescent="0.25">
      <c r="A14" s="9">
        <v>45769</v>
      </c>
      <c r="B14" s="2" t="s">
        <v>10</v>
      </c>
      <c r="C14" s="2" t="s">
        <v>929</v>
      </c>
      <c r="D14" s="12" t="s">
        <v>930</v>
      </c>
      <c r="E14" s="13"/>
      <c r="F14" s="13">
        <v>1650</v>
      </c>
      <c r="G14" s="13">
        <f t="shared" si="0"/>
        <v>1650</v>
      </c>
      <c r="H14" s="2" t="str">
        <f t="shared" si="1"/>
        <v>CR</v>
      </c>
    </row>
    <row r="15" spans="1:10" ht="21" customHeight="1" x14ac:dyDescent="0.25">
      <c r="A15" s="9">
        <v>45771</v>
      </c>
      <c r="B15" s="2" t="s">
        <v>10</v>
      </c>
      <c r="C15" s="2" t="s">
        <v>932</v>
      </c>
      <c r="D15" s="2" t="s">
        <v>934</v>
      </c>
      <c r="E15" s="13"/>
      <c r="F15" s="13">
        <v>5650</v>
      </c>
      <c r="G15" s="3">
        <f t="shared" si="0"/>
        <v>7300</v>
      </c>
      <c r="H15" s="2" t="str">
        <f t="shared" si="1"/>
        <v>CR</v>
      </c>
    </row>
    <row r="16" spans="1:10" ht="21" customHeight="1" x14ac:dyDescent="0.25">
      <c r="A16" s="9">
        <v>45771</v>
      </c>
      <c r="B16" s="2" t="s">
        <v>10</v>
      </c>
      <c r="C16" s="2" t="s">
        <v>933</v>
      </c>
      <c r="D16" s="2" t="s">
        <v>935</v>
      </c>
      <c r="E16" s="13"/>
      <c r="F16" s="13">
        <v>7700</v>
      </c>
      <c r="G16" s="3">
        <f t="shared" si="0"/>
        <v>15000</v>
      </c>
      <c r="H16" s="2" t="str">
        <f t="shared" si="1"/>
        <v>CR</v>
      </c>
    </row>
    <row r="17" spans="1:8" ht="21" customHeight="1" x14ac:dyDescent="0.25">
      <c r="A17" s="9">
        <v>45776</v>
      </c>
      <c r="B17" s="2" t="s">
        <v>10</v>
      </c>
      <c r="C17" s="2" t="s">
        <v>936</v>
      </c>
      <c r="D17" s="2" t="s">
        <v>937</v>
      </c>
      <c r="E17" s="13"/>
      <c r="F17" s="13">
        <v>1400</v>
      </c>
      <c r="G17" s="3">
        <f t="shared" si="0"/>
        <v>16400</v>
      </c>
      <c r="H17" s="2" t="str">
        <f t="shared" si="1"/>
        <v>CR</v>
      </c>
    </row>
    <row r="18" spans="1:8" ht="21" customHeight="1" x14ac:dyDescent="0.25">
      <c r="A18" s="9">
        <v>45782</v>
      </c>
      <c r="B18" s="2" t="s">
        <v>634</v>
      </c>
      <c r="C18" s="2" t="s">
        <v>8</v>
      </c>
      <c r="D18" s="2" t="s">
        <v>690</v>
      </c>
      <c r="E18" s="13">
        <v>16400</v>
      </c>
      <c r="F18" s="13"/>
      <c r="G18" s="3">
        <f>G17+F18-E18</f>
        <v>0</v>
      </c>
      <c r="H18" s="2" t="str">
        <f t="shared" si="1"/>
        <v>NIL</v>
      </c>
    </row>
    <row r="19" spans="1:8" ht="21" customHeight="1" x14ac:dyDescent="0.25">
      <c r="A19" s="9">
        <v>45812</v>
      </c>
      <c r="B19" s="2" t="s">
        <v>10</v>
      </c>
      <c r="C19" s="2" t="s">
        <v>945</v>
      </c>
      <c r="D19" s="2" t="s">
        <v>946</v>
      </c>
      <c r="E19" s="13"/>
      <c r="F19" s="13">
        <v>7200</v>
      </c>
      <c r="G19" s="3">
        <f t="shared" si="0"/>
        <v>7200</v>
      </c>
      <c r="H19" s="2" t="str">
        <f t="shared" si="1"/>
        <v>CR</v>
      </c>
    </row>
    <row r="20" spans="1:8" ht="21" customHeight="1" x14ac:dyDescent="0.25">
      <c r="A20" s="9">
        <v>45818</v>
      </c>
      <c r="B20" s="2" t="s">
        <v>10</v>
      </c>
      <c r="C20" s="2" t="s">
        <v>949</v>
      </c>
      <c r="D20" s="2" t="s">
        <v>950</v>
      </c>
      <c r="E20" s="13"/>
      <c r="F20" s="13">
        <v>5150</v>
      </c>
      <c r="G20" s="3">
        <f t="shared" si="0"/>
        <v>12350</v>
      </c>
      <c r="H20" s="2" t="str">
        <f t="shared" si="1"/>
        <v>CR</v>
      </c>
    </row>
    <row r="21" spans="1:8" ht="21" customHeight="1" x14ac:dyDescent="0.25">
      <c r="A21" s="9">
        <v>45832</v>
      </c>
      <c r="B21" s="2" t="s">
        <v>634</v>
      </c>
      <c r="C21" s="2" t="s">
        <v>8</v>
      </c>
      <c r="D21" s="2" t="s">
        <v>690</v>
      </c>
      <c r="E21" s="13">
        <v>12350</v>
      </c>
      <c r="F21" s="13"/>
      <c r="G21" s="3">
        <f t="shared" si="0"/>
        <v>0</v>
      </c>
      <c r="H21" s="2" t="str">
        <f t="shared" si="1"/>
        <v>NIL</v>
      </c>
    </row>
    <row r="22" spans="1:8" ht="21" customHeight="1" x14ac:dyDescent="0.25">
      <c r="A22" s="9">
        <v>45834</v>
      </c>
      <c r="B22" s="2" t="s">
        <v>10</v>
      </c>
      <c r="C22" s="2" t="s">
        <v>974</v>
      </c>
      <c r="D22" s="2" t="s">
        <v>975</v>
      </c>
      <c r="E22" s="13"/>
      <c r="F22" s="13">
        <v>5600</v>
      </c>
      <c r="G22" s="3">
        <f t="shared" si="0"/>
        <v>5600</v>
      </c>
      <c r="H22" s="2" t="str">
        <f t="shared" si="1"/>
        <v>CR</v>
      </c>
    </row>
    <row r="23" spans="1:8" ht="21" customHeight="1" x14ac:dyDescent="0.25">
      <c r="A23" s="9">
        <v>45839</v>
      </c>
      <c r="B23" s="2" t="s">
        <v>10</v>
      </c>
      <c r="C23" s="9" t="s">
        <v>979</v>
      </c>
      <c r="D23" s="9" t="s">
        <v>980</v>
      </c>
      <c r="E23" s="13"/>
      <c r="F23" s="13">
        <v>3150</v>
      </c>
      <c r="G23" s="3">
        <f t="shared" si="0"/>
        <v>8750</v>
      </c>
      <c r="H23" s="2" t="str">
        <f t="shared" si="1"/>
        <v>CR</v>
      </c>
    </row>
    <row r="24" spans="1:8" ht="21" customHeight="1" x14ac:dyDescent="0.25">
      <c r="A24" s="9">
        <v>45846</v>
      </c>
      <c r="B24" s="2" t="s">
        <v>634</v>
      </c>
      <c r="C24" s="2" t="s">
        <v>8</v>
      </c>
      <c r="D24" s="2" t="s">
        <v>690</v>
      </c>
      <c r="E24" s="13">
        <v>8750</v>
      </c>
      <c r="F24" s="13"/>
      <c r="G24" s="13">
        <f t="shared" si="0"/>
        <v>0</v>
      </c>
      <c r="H24" s="2" t="str">
        <f t="shared" si="1"/>
        <v>NIL</v>
      </c>
    </row>
    <row r="25" spans="1:8" ht="21" customHeight="1" x14ac:dyDescent="0.25">
      <c r="A25" s="9">
        <v>45846</v>
      </c>
      <c r="B25" s="2" t="s">
        <v>10</v>
      </c>
      <c r="C25" s="2" t="s">
        <v>981</v>
      </c>
      <c r="D25" s="2" t="s">
        <v>982</v>
      </c>
      <c r="E25" s="13"/>
      <c r="F25" s="13">
        <v>1150</v>
      </c>
      <c r="G25" s="13">
        <f t="shared" si="0"/>
        <v>1150</v>
      </c>
      <c r="H25" s="2" t="str">
        <f t="shared" si="1"/>
        <v>CR</v>
      </c>
    </row>
    <row r="26" spans="1:8" ht="21" customHeight="1" x14ac:dyDescent="0.25">
      <c r="A26" s="9">
        <v>45846</v>
      </c>
      <c r="B26" s="2" t="s">
        <v>10</v>
      </c>
      <c r="C26" s="2" t="s">
        <v>983</v>
      </c>
      <c r="D26" s="2" t="s">
        <v>984</v>
      </c>
      <c r="E26" s="13"/>
      <c r="F26" s="13">
        <v>3050</v>
      </c>
      <c r="G26" s="13">
        <f t="shared" si="0"/>
        <v>4200</v>
      </c>
      <c r="H26" s="83" t="str">
        <f t="shared" si="1"/>
        <v>CR</v>
      </c>
    </row>
    <row r="27" spans="1:8" ht="21" customHeight="1" x14ac:dyDescent="0.25">
      <c r="A27" s="9">
        <v>45850</v>
      </c>
      <c r="B27" s="2" t="s">
        <v>10</v>
      </c>
      <c r="C27" s="12" t="s">
        <v>994</v>
      </c>
      <c r="D27" s="2" t="s">
        <v>995</v>
      </c>
      <c r="E27" s="13"/>
      <c r="F27" s="13">
        <v>9750</v>
      </c>
      <c r="G27" s="3">
        <f t="shared" si="0"/>
        <v>13950</v>
      </c>
      <c r="H27" s="2" t="str">
        <f t="shared" si="1"/>
        <v>CR</v>
      </c>
    </row>
    <row r="28" spans="1:8" ht="21" customHeight="1" x14ac:dyDescent="0.25">
      <c r="A28" s="9">
        <v>45854</v>
      </c>
      <c r="B28" s="2" t="s">
        <v>634</v>
      </c>
      <c r="C28" s="2" t="s">
        <v>8</v>
      </c>
      <c r="D28" s="2" t="s">
        <v>690</v>
      </c>
      <c r="E28" s="13">
        <v>13950</v>
      </c>
      <c r="F28" s="13"/>
      <c r="G28" s="3">
        <f t="shared" si="0"/>
        <v>0</v>
      </c>
      <c r="H28" s="2" t="str">
        <f t="shared" si="1"/>
        <v>NIL</v>
      </c>
    </row>
    <row r="29" spans="1:8" ht="21" customHeight="1" x14ac:dyDescent="0.25">
      <c r="A29" s="9">
        <v>45854</v>
      </c>
      <c r="B29" s="2" t="s">
        <v>10</v>
      </c>
      <c r="C29" s="12" t="s">
        <v>999</v>
      </c>
      <c r="D29" s="2" t="s">
        <v>1000</v>
      </c>
      <c r="E29" s="13"/>
      <c r="F29" s="13">
        <v>7750</v>
      </c>
      <c r="G29" s="3">
        <f>G28+F29-E29</f>
        <v>7750</v>
      </c>
      <c r="H29" s="2" t="str">
        <f t="shared" si="1"/>
        <v>CR</v>
      </c>
    </row>
    <row r="30" spans="1:8" ht="21" customHeight="1" x14ac:dyDescent="0.25">
      <c r="A30" s="9">
        <v>45862</v>
      </c>
      <c r="B30" s="2" t="s">
        <v>10</v>
      </c>
      <c r="C30" s="12" t="s">
        <v>1004</v>
      </c>
      <c r="D30" s="2" t="s">
        <v>1005</v>
      </c>
      <c r="E30" s="13"/>
      <c r="F30" s="13">
        <v>3150</v>
      </c>
      <c r="G30" s="3">
        <f>G29+F30-E30</f>
        <v>10900</v>
      </c>
      <c r="H30" s="2" t="str">
        <f t="shared" si="1"/>
        <v>CR</v>
      </c>
    </row>
    <row r="31" spans="1:8" ht="21" customHeight="1" x14ac:dyDescent="0.25">
      <c r="A31" s="9">
        <v>45864</v>
      </c>
      <c r="B31" s="2" t="s">
        <v>10</v>
      </c>
      <c r="C31" s="2" t="s">
        <v>1006</v>
      </c>
      <c r="D31" s="2" t="s">
        <v>1007</v>
      </c>
      <c r="E31" s="13"/>
      <c r="F31" s="13">
        <v>1500</v>
      </c>
      <c r="G31" s="13">
        <f t="shared" si="0"/>
        <v>12400</v>
      </c>
      <c r="H31" s="83" t="str">
        <f t="shared" si="1"/>
        <v>CR</v>
      </c>
    </row>
    <row r="32" spans="1:8" ht="21" customHeight="1" x14ac:dyDescent="0.25">
      <c r="A32" s="9">
        <v>45876</v>
      </c>
      <c r="B32" s="2" t="s">
        <v>10</v>
      </c>
      <c r="C32" s="2" t="s">
        <v>1008</v>
      </c>
      <c r="D32" s="2" t="s">
        <v>1009</v>
      </c>
      <c r="E32" s="13"/>
      <c r="F32" s="13">
        <v>950</v>
      </c>
      <c r="G32" s="3">
        <f t="shared" si="0"/>
        <v>13350</v>
      </c>
      <c r="H32" s="2" t="str">
        <f t="shared" si="1"/>
        <v>CR</v>
      </c>
    </row>
    <row r="33" spans="1:8" ht="21" customHeight="1" x14ac:dyDescent="0.25">
      <c r="A33" s="9">
        <v>45877</v>
      </c>
      <c r="B33" s="2" t="s">
        <v>10</v>
      </c>
      <c r="C33" s="2" t="s">
        <v>1010</v>
      </c>
      <c r="D33" s="2" t="s">
        <v>1011</v>
      </c>
      <c r="E33" s="13"/>
      <c r="F33" s="13">
        <v>9750</v>
      </c>
      <c r="G33" s="3">
        <f t="shared" si="0"/>
        <v>23100</v>
      </c>
      <c r="H33" s="2" t="str">
        <f t="shared" si="1"/>
        <v>CR</v>
      </c>
    </row>
    <row r="34" spans="1:8" ht="21" customHeight="1" x14ac:dyDescent="0.25">
      <c r="A34" s="9">
        <v>45880</v>
      </c>
      <c r="B34" s="2" t="s">
        <v>634</v>
      </c>
      <c r="C34" s="2" t="s">
        <v>8</v>
      </c>
      <c r="D34" s="2" t="s">
        <v>690</v>
      </c>
      <c r="E34" s="13">
        <v>23100</v>
      </c>
      <c r="F34" s="13"/>
      <c r="G34" s="3">
        <f t="shared" si="0"/>
        <v>0</v>
      </c>
      <c r="H34" s="2" t="str">
        <f t="shared" si="1"/>
        <v>NIL</v>
      </c>
    </row>
    <row r="35" spans="1:8" ht="21" customHeight="1" x14ac:dyDescent="0.25">
      <c r="A35" s="9"/>
      <c r="B35" s="2"/>
      <c r="C35" s="2"/>
      <c r="D35" s="2"/>
      <c r="E35" s="13"/>
      <c r="F35" s="13"/>
      <c r="G35" s="3">
        <f t="shared" si="0"/>
        <v>0</v>
      </c>
      <c r="H35" s="2" t="str">
        <f t="shared" si="1"/>
        <v>NIL</v>
      </c>
    </row>
    <row r="36" spans="1:8" ht="21" customHeight="1" x14ac:dyDescent="0.25">
      <c r="A36" s="10"/>
      <c r="B36" s="4"/>
      <c r="C36" s="4"/>
      <c r="D36" s="4" t="s">
        <v>9</v>
      </c>
      <c r="E36" s="5">
        <f>SUM(E6:E35)</f>
        <v>111300</v>
      </c>
      <c r="F36" s="5">
        <f>SUM(F6:F35)</f>
        <v>108150</v>
      </c>
      <c r="G36" s="5">
        <f>G5+F36-E36</f>
        <v>0</v>
      </c>
      <c r="H36" s="4" t="str">
        <f t="shared" si="1"/>
        <v>NIL</v>
      </c>
    </row>
  </sheetData>
  <mergeCells count="4">
    <mergeCell ref="A1:H1"/>
    <mergeCell ref="A2:H2"/>
    <mergeCell ref="A3:H3"/>
    <mergeCell ref="G4:H4"/>
  </mergeCells>
  <hyperlinks>
    <hyperlink ref="J1" location="'PAYABLES-2024'!A1" display="PAYABLE HOME" xr:uid="{92CC70B2-D58F-4A03-884E-36438CD21C0F}"/>
  </hyperlinks>
  <printOptions horizontalCentered="1"/>
  <pageMargins left="0.7" right="0.7" top="0.75" bottom="0.75" header="0.3" footer="0.3"/>
  <pageSetup paperSize="9" scale="84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BB16-23AE-48E8-812B-FFB7A9BEC791}">
  <sheetPr>
    <pageSetUpPr fitToPage="1"/>
  </sheetPr>
  <dimension ref="A1:J36"/>
  <sheetViews>
    <sheetView zoomScaleNormal="100" workbookViewId="0">
      <pane ySplit="4" topLeftCell="A23" activePane="bottomLeft" state="frozen"/>
      <selection pane="bottomLeft" activeCell="D35" sqref="D35"/>
    </sheetView>
  </sheetViews>
  <sheetFormatPr defaultRowHeight="15" x14ac:dyDescent="0.25"/>
  <cols>
    <col min="1" max="1" width="12.7109375" style="11" bestFit="1" customWidth="1"/>
    <col min="2" max="2" width="13.28515625" bestFit="1" customWidth="1"/>
    <col min="3" max="3" width="19.5703125" bestFit="1" customWidth="1"/>
    <col min="4" max="4" width="39.140625" customWidth="1"/>
    <col min="5" max="6" width="9" style="1" bestFit="1" customWidth="1"/>
    <col min="7" max="7" width="9.85546875" style="1" customWidth="1"/>
    <col min="8" max="8" width="4.140625" customWidth="1"/>
    <col min="10" max="10" width="14.7109375" bestFit="1" customWidth="1"/>
  </cols>
  <sheetData>
    <row r="1" spans="1:10" ht="15.75" x14ac:dyDescent="0.25">
      <c r="A1" s="100" t="s">
        <v>0</v>
      </c>
      <c r="B1" s="100"/>
      <c r="C1" s="100"/>
      <c r="D1" s="100"/>
      <c r="E1" s="100"/>
      <c r="F1" s="100"/>
      <c r="G1" s="100"/>
      <c r="H1" s="100"/>
      <c r="J1" s="42" t="s">
        <v>670</v>
      </c>
    </row>
    <row r="2" spans="1:10" ht="15.75" x14ac:dyDescent="0.25">
      <c r="A2" s="100" t="s">
        <v>12</v>
      </c>
      <c r="B2" s="100"/>
      <c r="C2" s="100"/>
      <c r="D2" s="100"/>
      <c r="E2" s="100"/>
      <c r="F2" s="100"/>
      <c r="G2" s="100"/>
      <c r="H2" s="100"/>
    </row>
    <row r="3" spans="1:10" x14ac:dyDescent="0.25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10" ht="21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6" t="s">
        <v>5</v>
      </c>
      <c r="F4" s="16" t="s">
        <v>6</v>
      </c>
      <c r="G4" s="102" t="s">
        <v>7</v>
      </c>
      <c r="H4" s="102"/>
    </row>
    <row r="5" spans="1:10" ht="21" customHeight="1" x14ac:dyDescent="0.25">
      <c r="A5" s="9"/>
      <c r="B5" s="2"/>
      <c r="C5" s="2"/>
      <c r="D5" s="2"/>
      <c r="E5" s="3"/>
      <c r="F5" s="3"/>
      <c r="G5" s="3">
        <f>'AL AZIZ-LHR-15 '!G36</f>
        <v>0</v>
      </c>
      <c r="H5" s="2"/>
    </row>
    <row r="6" spans="1:10" ht="21" customHeight="1" x14ac:dyDescent="0.25">
      <c r="A6" s="9">
        <v>45884</v>
      </c>
      <c r="B6" s="2" t="s">
        <v>10</v>
      </c>
      <c r="C6" s="2" t="s">
        <v>1012</v>
      </c>
      <c r="D6" s="2" t="s">
        <v>1013</v>
      </c>
      <c r="E6" s="13"/>
      <c r="F6" s="13">
        <v>2150</v>
      </c>
      <c r="G6" s="3">
        <f>G5+F6-E6</f>
        <v>2150</v>
      </c>
      <c r="H6" s="2" t="str">
        <f>IF(G6=0,"NIL",IF(G6&gt;0,"CR","DR"))</f>
        <v>CR</v>
      </c>
    </row>
    <row r="7" spans="1:10" ht="21" customHeight="1" x14ac:dyDescent="0.25">
      <c r="A7" s="9">
        <v>45887</v>
      </c>
      <c r="B7" s="2" t="s">
        <v>10</v>
      </c>
      <c r="C7" s="2" t="s">
        <v>1017</v>
      </c>
      <c r="D7" s="2" t="s">
        <v>1019</v>
      </c>
      <c r="E7" s="13"/>
      <c r="F7" s="13">
        <v>1850</v>
      </c>
      <c r="G7" s="3">
        <f t="shared" ref="G7:G35" si="0">G6+F7-E7</f>
        <v>4000</v>
      </c>
      <c r="H7" s="2" t="str">
        <f t="shared" ref="H7:H36" si="1">IF(G7=0,"NIL",IF(G7&gt;0,"CR","DR"))</f>
        <v>CR</v>
      </c>
    </row>
    <row r="8" spans="1:10" ht="21" customHeight="1" x14ac:dyDescent="0.25">
      <c r="A8" s="9">
        <v>45887</v>
      </c>
      <c r="B8" s="2" t="s">
        <v>10</v>
      </c>
      <c r="C8" s="2" t="s">
        <v>1018</v>
      </c>
      <c r="D8" s="2" t="s">
        <v>1020</v>
      </c>
      <c r="E8" s="13"/>
      <c r="F8" s="13">
        <v>4250</v>
      </c>
      <c r="G8" s="3">
        <f t="shared" si="0"/>
        <v>8250</v>
      </c>
      <c r="H8" s="2" t="str">
        <f t="shared" si="1"/>
        <v>CR</v>
      </c>
    </row>
    <row r="9" spans="1:10" ht="21" customHeight="1" x14ac:dyDescent="0.25">
      <c r="A9" s="9">
        <v>45889</v>
      </c>
      <c r="B9" s="2" t="s">
        <v>10</v>
      </c>
      <c r="C9" s="2" t="s">
        <v>1021</v>
      </c>
      <c r="D9" s="2" t="s">
        <v>1022</v>
      </c>
      <c r="E9" s="13"/>
      <c r="F9" s="13">
        <v>4900</v>
      </c>
      <c r="G9" s="3">
        <f t="shared" si="0"/>
        <v>13150</v>
      </c>
      <c r="H9" s="2" t="str">
        <f t="shared" si="1"/>
        <v>CR</v>
      </c>
    </row>
    <row r="10" spans="1:10" ht="21" customHeight="1" x14ac:dyDescent="0.25">
      <c r="A10" s="9">
        <v>45889</v>
      </c>
      <c r="B10" s="2" t="s">
        <v>10</v>
      </c>
      <c r="C10" s="2" t="s">
        <v>1023</v>
      </c>
      <c r="D10" s="2" t="s">
        <v>1024</v>
      </c>
      <c r="E10" s="13"/>
      <c r="F10" s="13">
        <v>1550</v>
      </c>
      <c r="G10" s="3">
        <f t="shared" si="0"/>
        <v>14700</v>
      </c>
      <c r="H10" s="2" t="str">
        <f t="shared" si="1"/>
        <v>CR</v>
      </c>
    </row>
    <row r="11" spans="1:10" ht="21" customHeight="1" x14ac:dyDescent="0.25">
      <c r="A11" s="9">
        <v>45889</v>
      </c>
      <c r="B11" s="2" t="s">
        <v>10</v>
      </c>
      <c r="C11" s="2" t="s">
        <v>1025</v>
      </c>
      <c r="D11" s="2" t="s">
        <v>1026</v>
      </c>
      <c r="E11" s="13"/>
      <c r="F11" s="13">
        <v>3500</v>
      </c>
      <c r="G11" s="3">
        <f t="shared" si="0"/>
        <v>18200</v>
      </c>
      <c r="H11" s="2" t="str">
        <f t="shared" si="1"/>
        <v>CR</v>
      </c>
    </row>
    <row r="12" spans="1:10" ht="21" customHeight="1" x14ac:dyDescent="0.25">
      <c r="A12" s="9">
        <v>45896</v>
      </c>
      <c r="B12" s="2" t="s">
        <v>10</v>
      </c>
      <c r="C12" s="2" t="s">
        <v>1027</v>
      </c>
      <c r="D12" s="2" t="s">
        <v>1028</v>
      </c>
      <c r="E12" s="13"/>
      <c r="F12" s="13">
        <v>2150</v>
      </c>
      <c r="G12" s="3">
        <f t="shared" si="0"/>
        <v>20350</v>
      </c>
      <c r="H12" s="2" t="str">
        <f t="shared" si="1"/>
        <v>CR</v>
      </c>
    </row>
    <row r="13" spans="1:10" ht="21" customHeight="1" x14ac:dyDescent="0.25">
      <c r="A13" s="9">
        <v>45896</v>
      </c>
      <c r="B13" s="2" t="s">
        <v>10</v>
      </c>
      <c r="C13" s="2" t="s">
        <v>1029</v>
      </c>
      <c r="D13" s="2" t="s">
        <v>1030</v>
      </c>
      <c r="E13" s="13"/>
      <c r="F13" s="13">
        <v>5650</v>
      </c>
      <c r="G13" s="3">
        <f t="shared" si="0"/>
        <v>26000</v>
      </c>
      <c r="H13" s="2" t="str">
        <f t="shared" si="1"/>
        <v>CR</v>
      </c>
    </row>
    <row r="14" spans="1:10" ht="21" customHeight="1" x14ac:dyDescent="0.25">
      <c r="A14" s="9">
        <v>45897</v>
      </c>
      <c r="B14" s="2" t="s">
        <v>33</v>
      </c>
      <c r="C14" s="2" t="s">
        <v>1017</v>
      </c>
      <c r="D14" s="2" t="s">
        <v>1031</v>
      </c>
      <c r="E14" s="13">
        <v>1700</v>
      </c>
      <c r="F14" s="13"/>
      <c r="G14" s="13">
        <f t="shared" si="0"/>
        <v>24300</v>
      </c>
      <c r="H14" s="2" t="str">
        <f t="shared" si="1"/>
        <v>CR</v>
      </c>
    </row>
    <row r="15" spans="1:10" ht="21" customHeight="1" x14ac:dyDescent="0.25">
      <c r="A15" s="9">
        <v>45898</v>
      </c>
      <c r="B15" s="2" t="s">
        <v>8</v>
      </c>
      <c r="C15" s="2" t="s">
        <v>8</v>
      </c>
      <c r="D15" s="2" t="s">
        <v>690</v>
      </c>
      <c r="E15" s="13">
        <v>24000</v>
      </c>
      <c r="F15" s="13"/>
      <c r="G15" s="3">
        <f t="shared" si="0"/>
        <v>300</v>
      </c>
      <c r="H15" s="2" t="str">
        <f t="shared" si="1"/>
        <v>CR</v>
      </c>
    </row>
    <row r="16" spans="1:10" ht="21" customHeight="1" x14ac:dyDescent="0.25">
      <c r="A16" s="9">
        <v>45898</v>
      </c>
      <c r="B16" s="2" t="s">
        <v>10</v>
      </c>
      <c r="C16" s="2" t="s">
        <v>1032</v>
      </c>
      <c r="D16" s="2" t="s">
        <v>509</v>
      </c>
      <c r="E16" s="13"/>
      <c r="F16" s="13">
        <v>4150</v>
      </c>
      <c r="G16" s="3">
        <f t="shared" si="0"/>
        <v>4450</v>
      </c>
      <c r="H16" s="2" t="str">
        <f t="shared" si="1"/>
        <v>CR</v>
      </c>
    </row>
    <row r="17" spans="1:8" ht="21" customHeight="1" x14ac:dyDescent="0.25">
      <c r="A17" s="9">
        <v>45879</v>
      </c>
      <c r="B17" s="2" t="s">
        <v>10</v>
      </c>
      <c r="C17" s="2" t="s">
        <v>1040</v>
      </c>
      <c r="D17" s="2" t="s">
        <v>1041</v>
      </c>
      <c r="E17" s="13"/>
      <c r="F17" s="13">
        <v>9900</v>
      </c>
      <c r="G17" s="3">
        <f t="shared" si="0"/>
        <v>14350</v>
      </c>
      <c r="H17" s="2" t="str">
        <f t="shared" si="1"/>
        <v>CR</v>
      </c>
    </row>
    <row r="18" spans="1:8" ht="21" customHeight="1" x14ac:dyDescent="0.25">
      <c r="A18" s="9">
        <v>45879</v>
      </c>
      <c r="B18" s="2" t="s">
        <v>10</v>
      </c>
      <c r="C18" s="2" t="s">
        <v>1042</v>
      </c>
      <c r="D18" s="2" t="s">
        <v>1043</v>
      </c>
      <c r="E18" s="13"/>
      <c r="F18" s="13">
        <v>1400</v>
      </c>
      <c r="G18" s="3">
        <f>G17+F18-E18</f>
        <v>15750</v>
      </c>
      <c r="H18" s="2" t="str">
        <f t="shared" si="1"/>
        <v>CR</v>
      </c>
    </row>
    <row r="19" spans="1:8" ht="21" customHeight="1" x14ac:dyDescent="0.25">
      <c r="A19" s="9">
        <v>45910</v>
      </c>
      <c r="B19" s="2" t="s">
        <v>10</v>
      </c>
      <c r="C19" s="2" t="s">
        <v>1044</v>
      </c>
      <c r="D19" s="2" t="s">
        <v>1045</v>
      </c>
      <c r="E19" s="13"/>
      <c r="F19" s="13">
        <v>8350</v>
      </c>
      <c r="G19" s="3">
        <f t="shared" si="0"/>
        <v>24100</v>
      </c>
      <c r="H19" s="2" t="str">
        <f t="shared" si="1"/>
        <v>CR</v>
      </c>
    </row>
    <row r="20" spans="1:8" ht="21" customHeight="1" x14ac:dyDescent="0.25">
      <c r="A20" s="9">
        <v>45915</v>
      </c>
      <c r="B20" s="2" t="s">
        <v>8</v>
      </c>
      <c r="C20" s="2" t="s">
        <v>8</v>
      </c>
      <c r="D20" s="2" t="s">
        <v>690</v>
      </c>
      <c r="E20" s="13">
        <v>24100</v>
      </c>
      <c r="F20" s="13"/>
      <c r="G20" s="3">
        <f t="shared" si="0"/>
        <v>0</v>
      </c>
      <c r="H20" s="2" t="str">
        <f t="shared" si="1"/>
        <v>NIL</v>
      </c>
    </row>
    <row r="21" spans="1:8" ht="21" customHeight="1" x14ac:dyDescent="0.25">
      <c r="A21" s="9">
        <v>45916</v>
      </c>
      <c r="B21" s="2" t="s">
        <v>10</v>
      </c>
      <c r="C21" s="2" t="s">
        <v>1046</v>
      </c>
      <c r="D21" s="2" t="s">
        <v>1047</v>
      </c>
      <c r="E21" s="13"/>
      <c r="F21" s="13">
        <v>9850</v>
      </c>
      <c r="G21" s="3">
        <f t="shared" si="0"/>
        <v>9850</v>
      </c>
      <c r="H21" s="2" t="str">
        <f t="shared" si="1"/>
        <v>CR</v>
      </c>
    </row>
    <row r="22" spans="1:8" ht="21" customHeight="1" x14ac:dyDescent="0.25">
      <c r="A22" s="9">
        <v>45924</v>
      </c>
      <c r="B22" s="2" t="s">
        <v>10</v>
      </c>
      <c r="C22" s="2" t="s">
        <v>1049</v>
      </c>
      <c r="D22" s="2" t="s">
        <v>1047</v>
      </c>
      <c r="E22" s="13"/>
      <c r="F22" s="13">
        <v>9800</v>
      </c>
      <c r="G22" s="3">
        <f t="shared" si="0"/>
        <v>19650</v>
      </c>
      <c r="H22" s="2" t="str">
        <f t="shared" si="1"/>
        <v>CR</v>
      </c>
    </row>
    <row r="23" spans="1:8" ht="21" customHeight="1" x14ac:dyDescent="0.25">
      <c r="A23" s="9">
        <v>45923</v>
      </c>
      <c r="B23" s="2" t="s">
        <v>10</v>
      </c>
      <c r="C23" s="9" t="s">
        <v>1048</v>
      </c>
      <c r="D23" s="9" t="s">
        <v>1050</v>
      </c>
      <c r="E23" s="13"/>
      <c r="F23" s="13">
        <v>1150</v>
      </c>
      <c r="G23" s="3">
        <f t="shared" si="0"/>
        <v>20800</v>
      </c>
      <c r="H23" s="2" t="str">
        <f t="shared" si="1"/>
        <v>CR</v>
      </c>
    </row>
    <row r="24" spans="1:8" ht="21" customHeight="1" x14ac:dyDescent="0.25">
      <c r="A24" s="9">
        <v>45926</v>
      </c>
      <c r="B24" s="2" t="s">
        <v>10</v>
      </c>
      <c r="C24" s="2" t="s">
        <v>1051</v>
      </c>
      <c r="D24" s="2" t="s">
        <v>1047</v>
      </c>
      <c r="E24" s="13"/>
      <c r="F24" s="13">
        <v>9850</v>
      </c>
      <c r="G24" s="13">
        <f t="shared" si="0"/>
        <v>30650</v>
      </c>
      <c r="H24" s="2" t="str">
        <f t="shared" si="1"/>
        <v>CR</v>
      </c>
    </row>
    <row r="25" spans="1:8" ht="21" customHeight="1" x14ac:dyDescent="0.25">
      <c r="A25" s="9">
        <v>45927</v>
      </c>
      <c r="B25" s="2" t="s">
        <v>10</v>
      </c>
      <c r="C25" s="2" t="s">
        <v>1052</v>
      </c>
      <c r="D25" s="2" t="s">
        <v>1053</v>
      </c>
      <c r="E25" s="13"/>
      <c r="F25" s="13">
        <v>6250</v>
      </c>
      <c r="G25" s="13">
        <f t="shared" si="0"/>
        <v>36900</v>
      </c>
      <c r="H25" s="2" t="str">
        <f t="shared" si="1"/>
        <v>CR</v>
      </c>
    </row>
    <row r="26" spans="1:8" ht="21" customHeight="1" x14ac:dyDescent="0.25">
      <c r="A26" s="9">
        <v>45916</v>
      </c>
      <c r="B26" s="2" t="s">
        <v>33</v>
      </c>
      <c r="C26" s="2" t="s">
        <v>1046</v>
      </c>
      <c r="D26" s="2" t="s">
        <v>1047</v>
      </c>
      <c r="E26" s="13">
        <v>9500</v>
      </c>
      <c r="F26" s="13"/>
      <c r="G26" s="13">
        <f t="shared" si="0"/>
        <v>27400</v>
      </c>
      <c r="H26" s="83" t="str">
        <f t="shared" si="1"/>
        <v>CR</v>
      </c>
    </row>
    <row r="27" spans="1:8" ht="21" customHeight="1" x14ac:dyDescent="0.25">
      <c r="A27" s="9">
        <v>45926</v>
      </c>
      <c r="B27" s="2" t="s">
        <v>33</v>
      </c>
      <c r="C27" s="2" t="s">
        <v>1051</v>
      </c>
      <c r="D27" s="2" t="s">
        <v>1047</v>
      </c>
      <c r="E27" s="13">
        <v>9500</v>
      </c>
      <c r="F27" s="13"/>
      <c r="G27" s="3">
        <f t="shared" si="0"/>
        <v>17900</v>
      </c>
      <c r="H27" s="2" t="str">
        <f t="shared" si="1"/>
        <v>CR</v>
      </c>
    </row>
    <row r="28" spans="1:8" ht="21" customHeight="1" x14ac:dyDescent="0.25">
      <c r="A28" s="9">
        <v>45929</v>
      </c>
      <c r="B28" s="2" t="s">
        <v>10</v>
      </c>
      <c r="C28" s="2" t="s">
        <v>1054</v>
      </c>
      <c r="D28" s="2" t="s">
        <v>1059</v>
      </c>
      <c r="E28" s="13"/>
      <c r="F28" s="13">
        <v>3650</v>
      </c>
      <c r="G28" s="3">
        <f t="shared" si="0"/>
        <v>21550</v>
      </c>
      <c r="H28" s="2" t="str">
        <f t="shared" si="1"/>
        <v>CR</v>
      </c>
    </row>
    <row r="29" spans="1:8" ht="21" customHeight="1" x14ac:dyDescent="0.25">
      <c r="A29" s="9">
        <v>45929</v>
      </c>
      <c r="B29" s="2" t="s">
        <v>10</v>
      </c>
      <c r="C29" s="12" t="s">
        <v>1055</v>
      </c>
      <c r="D29" s="2" t="s">
        <v>1058</v>
      </c>
      <c r="E29" s="13"/>
      <c r="F29" s="13">
        <v>3000</v>
      </c>
      <c r="G29" s="3">
        <f>G28+F29-E29</f>
        <v>24550</v>
      </c>
      <c r="H29" s="2" t="str">
        <f t="shared" si="1"/>
        <v>CR</v>
      </c>
    </row>
    <row r="30" spans="1:8" ht="21" customHeight="1" x14ac:dyDescent="0.25">
      <c r="A30" s="9">
        <v>45929</v>
      </c>
      <c r="B30" s="2" t="s">
        <v>10</v>
      </c>
      <c r="C30" s="12" t="s">
        <v>1056</v>
      </c>
      <c r="D30" s="2" t="s">
        <v>1057</v>
      </c>
      <c r="E30" s="13"/>
      <c r="F30" s="13">
        <v>800</v>
      </c>
      <c r="G30" s="3">
        <f>G29+F30-E30</f>
        <v>25350</v>
      </c>
      <c r="H30" s="2" t="str">
        <f t="shared" si="1"/>
        <v>CR</v>
      </c>
    </row>
    <row r="31" spans="1:8" ht="21" customHeight="1" x14ac:dyDescent="0.25">
      <c r="A31" s="9">
        <v>45929</v>
      </c>
      <c r="B31" s="2" t="s">
        <v>10</v>
      </c>
      <c r="C31" s="2" t="s">
        <v>1060</v>
      </c>
      <c r="D31" s="2" t="s">
        <v>1047</v>
      </c>
      <c r="E31" s="13"/>
      <c r="F31" s="13">
        <v>9850</v>
      </c>
      <c r="G31" s="13">
        <f t="shared" si="0"/>
        <v>35200</v>
      </c>
      <c r="H31" s="83" t="str">
        <f t="shared" si="1"/>
        <v>CR</v>
      </c>
    </row>
    <row r="32" spans="1:8" ht="21" customHeight="1" x14ac:dyDescent="0.25">
      <c r="A32" s="9">
        <v>45931</v>
      </c>
      <c r="B32" s="2" t="s">
        <v>10</v>
      </c>
      <c r="C32" s="2" t="s">
        <v>1061</v>
      </c>
      <c r="D32" s="2" t="s">
        <v>251</v>
      </c>
      <c r="E32" s="13"/>
      <c r="F32" s="13">
        <v>3150</v>
      </c>
      <c r="G32" s="3">
        <f t="shared" si="0"/>
        <v>38350</v>
      </c>
      <c r="H32" s="2" t="str">
        <f t="shared" si="1"/>
        <v>CR</v>
      </c>
    </row>
    <row r="33" spans="1:8" ht="21" customHeight="1" x14ac:dyDescent="0.25">
      <c r="A33" s="9">
        <v>45931</v>
      </c>
      <c r="B33" s="2" t="s">
        <v>10</v>
      </c>
      <c r="C33" s="2" t="s">
        <v>1062</v>
      </c>
      <c r="D33" s="2" t="s">
        <v>1063</v>
      </c>
      <c r="E33" s="13"/>
      <c r="F33" s="13">
        <v>800</v>
      </c>
      <c r="G33" s="3">
        <f t="shared" si="0"/>
        <v>39150</v>
      </c>
      <c r="H33" s="2" t="str">
        <f t="shared" si="1"/>
        <v>CR</v>
      </c>
    </row>
    <row r="34" spans="1:8" ht="21" customHeight="1" x14ac:dyDescent="0.25">
      <c r="A34" s="9">
        <v>45934</v>
      </c>
      <c r="B34" s="2" t="s">
        <v>10</v>
      </c>
      <c r="C34" s="2" t="s">
        <v>1064</v>
      </c>
      <c r="D34" s="2" t="s">
        <v>1065</v>
      </c>
      <c r="E34" s="13"/>
      <c r="F34" s="13">
        <v>7400</v>
      </c>
      <c r="G34" s="3">
        <f t="shared" si="0"/>
        <v>46550</v>
      </c>
      <c r="H34" s="2" t="str">
        <f t="shared" si="1"/>
        <v>CR</v>
      </c>
    </row>
    <row r="35" spans="1:8" ht="21" customHeight="1" x14ac:dyDescent="0.25">
      <c r="A35" s="9">
        <v>45936</v>
      </c>
      <c r="B35" s="2" t="s">
        <v>8</v>
      </c>
      <c r="C35" s="2" t="s">
        <v>8</v>
      </c>
      <c r="D35" s="2" t="s">
        <v>690</v>
      </c>
      <c r="E35" s="13">
        <v>25000</v>
      </c>
      <c r="F35" s="13"/>
      <c r="G35" s="3">
        <f t="shared" si="0"/>
        <v>21550</v>
      </c>
      <c r="H35" s="2" t="str">
        <f t="shared" si="1"/>
        <v>CR</v>
      </c>
    </row>
    <row r="36" spans="1:8" ht="21" customHeight="1" x14ac:dyDescent="0.25">
      <c r="A36" s="10"/>
      <c r="B36" s="4"/>
      <c r="C36" s="4"/>
      <c r="D36" s="4" t="s">
        <v>9</v>
      </c>
      <c r="E36" s="5">
        <f>SUM(E6:E35)</f>
        <v>93800</v>
      </c>
      <c r="F36" s="5">
        <f>SUM(F6:F35)</f>
        <v>115350</v>
      </c>
      <c r="G36" s="5">
        <f>G5+F36-E36</f>
        <v>21550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hyperlinks>
    <hyperlink ref="J1" location="'PAYABLES-2024'!A1" display="PAYABLE HOME" xr:uid="{8FA0E027-5E7B-459A-BAAC-6F89832A60C5}"/>
  </hyperlinks>
  <printOptions horizontalCentered="1"/>
  <pageMargins left="0.7" right="0.7" top="0.75" bottom="0.75" header="0.3" footer="0.3"/>
  <pageSetup paperSize="9" scale="84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4646-0D26-42AC-BCAD-81CBAB35980E}">
  <sheetPr>
    <pageSetUpPr fitToPage="1"/>
  </sheetPr>
  <dimension ref="A1:J36"/>
  <sheetViews>
    <sheetView zoomScaleNormal="100" workbookViewId="0">
      <pane ySplit="4" topLeftCell="A23" activePane="bottomLeft" state="frozen"/>
      <selection pane="bottomLeft" activeCell="C33" sqref="C33"/>
    </sheetView>
  </sheetViews>
  <sheetFormatPr defaultRowHeight="15" x14ac:dyDescent="0.25"/>
  <cols>
    <col min="1" max="1" width="12.7109375" style="11" bestFit="1" customWidth="1"/>
    <col min="2" max="2" width="13.28515625" bestFit="1" customWidth="1"/>
    <col min="3" max="3" width="19.5703125" bestFit="1" customWidth="1"/>
    <col min="4" max="4" width="39.140625" customWidth="1"/>
    <col min="5" max="6" width="9" style="1" bestFit="1" customWidth="1"/>
    <col min="7" max="7" width="9.85546875" style="1" customWidth="1"/>
    <col min="8" max="8" width="4.140625" customWidth="1"/>
    <col min="10" max="10" width="14.7109375" bestFit="1" customWidth="1"/>
  </cols>
  <sheetData>
    <row r="1" spans="1:10" ht="15.75" x14ac:dyDescent="0.25">
      <c r="A1" s="100" t="s">
        <v>0</v>
      </c>
      <c r="B1" s="100"/>
      <c r="C1" s="100"/>
      <c r="D1" s="100"/>
      <c r="E1" s="100"/>
      <c r="F1" s="100"/>
      <c r="G1" s="100"/>
      <c r="H1" s="100"/>
      <c r="J1" s="42" t="s">
        <v>670</v>
      </c>
    </row>
    <row r="2" spans="1:10" ht="15.75" x14ac:dyDescent="0.25">
      <c r="A2" s="100" t="s">
        <v>12</v>
      </c>
      <c r="B2" s="100"/>
      <c r="C2" s="100"/>
      <c r="D2" s="100"/>
      <c r="E2" s="100"/>
      <c r="F2" s="100"/>
      <c r="G2" s="100"/>
      <c r="H2" s="100"/>
    </row>
    <row r="3" spans="1:10" x14ac:dyDescent="0.25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10" ht="21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6" t="s">
        <v>5</v>
      </c>
      <c r="F4" s="16" t="s">
        <v>6</v>
      </c>
      <c r="G4" s="102" t="s">
        <v>7</v>
      </c>
      <c r="H4" s="102"/>
    </row>
    <row r="5" spans="1:10" ht="21" customHeight="1" x14ac:dyDescent="0.25">
      <c r="A5" s="9"/>
      <c r="B5" s="2"/>
      <c r="C5" s="2"/>
      <c r="D5" s="2"/>
      <c r="E5" s="3"/>
      <c r="F5" s="3"/>
      <c r="G5" s="3">
        <f>'AL AZIZ-LHR-16 '!G36</f>
        <v>21550</v>
      </c>
      <c r="H5" s="2"/>
    </row>
    <row r="6" spans="1:10" ht="21" customHeight="1" x14ac:dyDescent="0.25">
      <c r="A6" s="9">
        <v>45938</v>
      </c>
      <c r="B6" s="2" t="s">
        <v>10</v>
      </c>
      <c r="C6" s="2" t="s">
        <v>1067</v>
      </c>
      <c r="D6" s="2" t="s">
        <v>475</v>
      </c>
      <c r="E6" s="13"/>
      <c r="F6" s="13">
        <v>3150</v>
      </c>
      <c r="G6" s="3">
        <f>G5+F6-E6</f>
        <v>24700</v>
      </c>
      <c r="H6" s="2" t="str">
        <f>IF(G6=0,"NIL",IF(G6&gt;0,"CR","DR"))</f>
        <v>CR</v>
      </c>
    </row>
    <row r="7" spans="1:10" ht="21" customHeight="1" x14ac:dyDescent="0.25">
      <c r="A7" s="9">
        <v>45939</v>
      </c>
      <c r="B7" s="2" t="s">
        <v>634</v>
      </c>
      <c r="C7" s="2" t="s">
        <v>634</v>
      </c>
      <c r="D7" s="2" t="s">
        <v>690</v>
      </c>
      <c r="E7" s="13">
        <v>15000</v>
      </c>
      <c r="F7" s="13"/>
      <c r="G7" s="3">
        <f t="shared" ref="G7:G34" si="0">G6+F7-E7</f>
        <v>9700</v>
      </c>
      <c r="H7" s="2" t="str">
        <f t="shared" ref="H7:H36" si="1">IF(G7=0,"NIL",IF(G7&gt;0,"CR","DR"))</f>
        <v>CR</v>
      </c>
    </row>
    <row r="8" spans="1:10" ht="21" customHeight="1" x14ac:dyDescent="0.25">
      <c r="A8" s="9">
        <v>45955</v>
      </c>
      <c r="B8" s="2" t="s">
        <v>10</v>
      </c>
      <c r="C8" s="2" t="s">
        <v>1073</v>
      </c>
      <c r="D8" s="2" t="s">
        <v>1074</v>
      </c>
      <c r="E8" s="13"/>
      <c r="F8" s="13">
        <v>9800</v>
      </c>
      <c r="G8" s="3">
        <f t="shared" si="0"/>
        <v>19500</v>
      </c>
      <c r="H8" s="2" t="str">
        <f t="shared" si="1"/>
        <v>CR</v>
      </c>
    </row>
    <row r="9" spans="1:10" ht="21" customHeight="1" x14ac:dyDescent="0.25">
      <c r="A9" s="9">
        <v>45945</v>
      </c>
      <c r="B9" s="2" t="s">
        <v>634</v>
      </c>
      <c r="C9" s="2" t="s">
        <v>1076</v>
      </c>
      <c r="D9" s="2" t="s">
        <v>1075</v>
      </c>
      <c r="E9" s="13"/>
      <c r="F9" s="13">
        <v>1350</v>
      </c>
      <c r="G9" s="3">
        <f t="shared" si="0"/>
        <v>20850</v>
      </c>
      <c r="H9" s="2" t="str">
        <f t="shared" si="1"/>
        <v>CR</v>
      </c>
    </row>
    <row r="10" spans="1:10" ht="21" customHeight="1" x14ac:dyDescent="0.25">
      <c r="A10" s="9">
        <v>45960</v>
      </c>
      <c r="B10" s="2" t="s">
        <v>10</v>
      </c>
      <c r="C10" s="2" t="s">
        <v>1079</v>
      </c>
      <c r="D10" s="2" t="s">
        <v>1080</v>
      </c>
      <c r="E10" s="13"/>
      <c r="F10" s="13">
        <v>3650</v>
      </c>
      <c r="G10" s="3">
        <f t="shared" si="0"/>
        <v>24500</v>
      </c>
      <c r="H10" s="2" t="str">
        <f t="shared" si="1"/>
        <v>CR</v>
      </c>
    </row>
    <row r="11" spans="1:10" ht="21" customHeight="1" x14ac:dyDescent="0.25">
      <c r="A11" s="9">
        <v>45961</v>
      </c>
      <c r="B11" s="2" t="s">
        <v>10</v>
      </c>
      <c r="C11" s="2" t="s">
        <v>1081</v>
      </c>
      <c r="D11" s="2" t="s">
        <v>1082</v>
      </c>
      <c r="E11" s="13"/>
      <c r="F11" s="13">
        <v>4600</v>
      </c>
      <c r="G11" s="3">
        <f t="shared" si="0"/>
        <v>29100</v>
      </c>
      <c r="H11" s="2" t="str">
        <f t="shared" si="1"/>
        <v>CR</v>
      </c>
    </row>
    <row r="12" spans="1:10" ht="21" customHeight="1" x14ac:dyDescent="0.25">
      <c r="A12" s="9">
        <v>45962</v>
      </c>
      <c r="B12" s="2" t="s">
        <v>10</v>
      </c>
      <c r="C12" s="2" t="s">
        <v>1083</v>
      </c>
      <c r="D12" s="2" t="s">
        <v>279</v>
      </c>
      <c r="E12" s="13"/>
      <c r="F12" s="13">
        <v>1550</v>
      </c>
      <c r="G12" s="3">
        <f t="shared" si="0"/>
        <v>30650</v>
      </c>
      <c r="H12" s="2" t="str">
        <f t="shared" si="1"/>
        <v>CR</v>
      </c>
    </row>
    <row r="13" spans="1:10" ht="21" customHeight="1" x14ac:dyDescent="0.25">
      <c r="A13" s="9">
        <v>45965</v>
      </c>
      <c r="B13" s="2" t="s">
        <v>10</v>
      </c>
      <c r="C13" s="2" t="s">
        <v>1085</v>
      </c>
      <c r="D13" s="2" t="s">
        <v>1074</v>
      </c>
      <c r="E13" s="13"/>
      <c r="F13" s="13">
        <v>8350</v>
      </c>
      <c r="G13" s="3">
        <f t="shared" si="0"/>
        <v>39000</v>
      </c>
      <c r="H13" s="2" t="str">
        <f t="shared" si="1"/>
        <v>CR</v>
      </c>
    </row>
    <row r="14" spans="1:10" ht="21" customHeight="1" x14ac:dyDescent="0.25">
      <c r="A14" s="9">
        <v>45966</v>
      </c>
      <c r="B14" s="2" t="s">
        <v>10</v>
      </c>
      <c r="C14" s="2" t="s">
        <v>1086</v>
      </c>
      <c r="D14" s="2" t="s">
        <v>1087</v>
      </c>
      <c r="E14" s="13"/>
      <c r="F14" s="13">
        <v>9700</v>
      </c>
      <c r="G14" s="13">
        <f t="shared" si="0"/>
        <v>48700</v>
      </c>
      <c r="H14" s="2" t="str">
        <f t="shared" si="1"/>
        <v>CR</v>
      </c>
    </row>
    <row r="15" spans="1:10" ht="21" customHeight="1" x14ac:dyDescent="0.25">
      <c r="A15" s="9">
        <v>45965</v>
      </c>
      <c r="B15" s="2" t="s">
        <v>1071</v>
      </c>
      <c r="C15" s="2" t="s">
        <v>1085</v>
      </c>
      <c r="D15" s="2" t="s">
        <v>235</v>
      </c>
      <c r="E15" s="13">
        <v>8000</v>
      </c>
      <c r="F15" s="13"/>
      <c r="G15" s="3">
        <f t="shared" si="0"/>
        <v>40700</v>
      </c>
      <c r="H15" s="2" t="str">
        <f t="shared" si="1"/>
        <v>CR</v>
      </c>
    </row>
    <row r="16" spans="1:10" ht="21" customHeight="1" x14ac:dyDescent="0.25">
      <c r="A16" s="9">
        <v>45969</v>
      </c>
      <c r="B16" s="2" t="s">
        <v>634</v>
      </c>
      <c r="C16" s="2" t="s">
        <v>634</v>
      </c>
      <c r="D16" s="2" t="s">
        <v>690</v>
      </c>
      <c r="E16" s="13">
        <v>30000</v>
      </c>
      <c r="F16" s="13"/>
      <c r="G16" s="3">
        <f t="shared" si="0"/>
        <v>10700</v>
      </c>
      <c r="H16" s="2" t="str">
        <f t="shared" si="1"/>
        <v>CR</v>
      </c>
    </row>
    <row r="17" spans="1:8" ht="21" customHeight="1" x14ac:dyDescent="0.25">
      <c r="A17" s="9">
        <v>45974</v>
      </c>
      <c r="B17" s="2" t="s">
        <v>10</v>
      </c>
      <c r="C17" s="2" t="s">
        <v>1088</v>
      </c>
      <c r="D17" s="2" t="s">
        <v>1089</v>
      </c>
      <c r="E17" s="13"/>
      <c r="F17" s="13">
        <v>3800</v>
      </c>
      <c r="G17" s="3">
        <f t="shared" si="0"/>
        <v>14500</v>
      </c>
      <c r="H17" s="2" t="str">
        <f t="shared" si="1"/>
        <v>CR</v>
      </c>
    </row>
    <row r="18" spans="1:8" ht="21" customHeight="1" x14ac:dyDescent="0.25">
      <c r="A18" s="9">
        <v>45978</v>
      </c>
      <c r="B18" s="2" t="s">
        <v>10</v>
      </c>
      <c r="C18" s="2" t="s">
        <v>1090</v>
      </c>
      <c r="D18" s="2" t="s">
        <v>1091</v>
      </c>
      <c r="E18" s="13"/>
      <c r="F18" s="13">
        <v>9250</v>
      </c>
      <c r="G18" s="3">
        <f>G17+F18-E18</f>
        <v>23750</v>
      </c>
      <c r="H18" s="2" t="str">
        <f t="shared" si="1"/>
        <v>CR</v>
      </c>
    </row>
    <row r="19" spans="1:8" ht="21" customHeight="1" x14ac:dyDescent="0.25">
      <c r="A19" s="9">
        <v>45981</v>
      </c>
      <c r="B19" s="2" t="s">
        <v>634</v>
      </c>
      <c r="C19" s="2" t="s">
        <v>634</v>
      </c>
      <c r="D19" s="2" t="s">
        <v>690</v>
      </c>
      <c r="E19" s="13">
        <v>23750</v>
      </c>
      <c r="F19" s="13"/>
      <c r="G19" s="3">
        <f t="shared" si="0"/>
        <v>0</v>
      </c>
      <c r="H19" s="2" t="str">
        <f t="shared" si="1"/>
        <v>NIL</v>
      </c>
    </row>
    <row r="20" spans="1:8" ht="21" customHeight="1" x14ac:dyDescent="0.25">
      <c r="A20" s="9">
        <v>45982</v>
      </c>
      <c r="B20" s="2" t="s">
        <v>10</v>
      </c>
      <c r="C20" s="2" t="s">
        <v>1093</v>
      </c>
      <c r="D20" s="2" t="s">
        <v>1092</v>
      </c>
      <c r="E20" s="13"/>
      <c r="F20" s="13">
        <v>5650</v>
      </c>
      <c r="G20" s="3">
        <f t="shared" si="0"/>
        <v>5650</v>
      </c>
      <c r="H20" s="2" t="str">
        <f t="shared" si="1"/>
        <v>CR</v>
      </c>
    </row>
    <row r="21" spans="1:8" ht="21" customHeight="1" x14ac:dyDescent="0.25">
      <c r="A21" s="9">
        <v>45987</v>
      </c>
      <c r="B21" s="2" t="s">
        <v>10</v>
      </c>
      <c r="C21" s="2" t="s">
        <v>1094</v>
      </c>
      <c r="D21" s="2" t="s">
        <v>1095</v>
      </c>
      <c r="E21" s="13"/>
      <c r="F21" s="13">
        <v>9300</v>
      </c>
      <c r="G21" s="3">
        <f t="shared" si="0"/>
        <v>14950</v>
      </c>
      <c r="H21" s="2" t="str">
        <f t="shared" si="1"/>
        <v>CR</v>
      </c>
    </row>
    <row r="22" spans="1:8" ht="21" customHeight="1" x14ac:dyDescent="0.25">
      <c r="A22" s="9">
        <v>45988</v>
      </c>
      <c r="B22" s="2" t="s">
        <v>10</v>
      </c>
      <c r="C22" s="2" t="s">
        <v>1096</v>
      </c>
      <c r="D22" s="2" t="s">
        <v>570</v>
      </c>
      <c r="E22" s="13"/>
      <c r="F22" s="13">
        <v>3150</v>
      </c>
      <c r="G22" s="3">
        <f t="shared" si="0"/>
        <v>18100</v>
      </c>
      <c r="H22" s="2" t="str">
        <f t="shared" si="1"/>
        <v>CR</v>
      </c>
    </row>
    <row r="23" spans="1:8" ht="21" customHeight="1" x14ac:dyDescent="0.25">
      <c r="A23" s="9">
        <v>45992</v>
      </c>
      <c r="B23" s="2" t="s">
        <v>10</v>
      </c>
      <c r="C23" s="9" t="s">
        <v>1100</v>
      </c>
      <c r="D23" s="9" t="s">
        <v>1099</v>
      </c>
      <c r="E23" s="13"/>
      <c r="F23" s="13">
        <v>3000</v>
      </c>
      <c r="G23" s="3">
        <f t="shared" si="0"/>
        <v>21100</v>
      </c>
      <c r="H23" s="2" t="str">
        <f t="shared" si="1"/>
        <v>CR</v>
      </c>
    </row>
    <row r="24" spans="1:8" ht="21" customHeight="1" x14ac:dyDescent="0.25">
      <c r="A24" s="9">
        <v>45992</v>
      </c>
      <c r="B24" s="2" t="s">
        <v>10</v>
      </c>
      <c r="C24" s="2" t="s">
        <v>1098</v>
      </c>
      <c r="D24" s="2" t="s">
        <v>1101</v>
      </c>
      <c r="E24" s="13"/>
      <c r="F24" s="13">
        <v>3150</v>
      </c>
      <c r="G24" s="13">
        <f t="shared" si="0"/>
        <v>24250</v>
      </c>
      <c r="H24" s="2" t="str">
        <f t="shared" si="1"/>
        <v>CR</v>
      </c>
    </row>
    <row r="25" spans="1:8" ht="21" customHeight="1" x14ac:dyDescent="0.25">
      <c r="A25" s="9">
        <v>45994</v>
      </c>
      <c r="B25" s="2" t="s">
        <v>10</v>
      </c>
      <c r="C25" s="2" t="s">
        <v>1103</v>
      </c>
      <c r="D25" s="2" t="s">
        <v>1102</v>
      </c>
      <c r="E25" s="13"/>
      <c r="F25" s="13">
        <v>1350</v>
      </c>
      <c r="G25" s="13">
        <f t="shared" si="0"/>
        <v>25600</v>
      </c>
      <c r="H25" s="2" t="str">
        <f t="shared" si="1"/>
        <v>CR</v>
      </c>
    </row>
    <row r="26" spans="1:8" ht="21" customHeight="1" x14ac:dyDescent="0.25">
      <c r="A26" s="9">
        <v>46003</v>
      </c>
      <c r="B26" s="2" t="s">
        <v>10</v>
      </c>
      <c r="C26" s="2" t="s">
        <v>1109</v>
      </c>
      <c r="D26" s="2" t="s">
        <v>475</v>
      </c>
      <c r="E26" s="13"/>
      <c r="F26" s="13">
        <v>3150</v>
      </c>
      <c r="G26" s="13">
        <f t="shared" si="0"/>
        <v>28750</v>
      </c>
      <c r="H26" s="83" t="str">
        <f t="shared" si="1"/>
        <v>CR</v>
      </c>
    </row>
    <row r="27" spans="1:8" ht="21" customHeight="1" x14ac:dyDescent="0.25">
      <c r="A27" s="9">
        <v>46007</v>
      </c>
      <c r="B27" s="2" t="s">
        <v>634</v>
      </c>
      <c r="C27" s="2" t="s">
        <v>634</v>
      </c>
      <c r="D27" s="2" t="s">
        <v>690</v>
      </c>
      <c r="E27" s="13">
        <v>15000</v>
      </c>
      <c r="F27" s="13"/>
      <c r="G27" s="3">
        <f t="shared" si="0"/>
        <v>13750</v>
      </c>
      <c r="H27" s="2" t="str">
        <f t="shared" si="1"/>
        <v>CR</v>
      </c>
    </row>
    <row r="28" spans="1:8" ht="21" customHeight="1" x14ac:dyDescent="0.25">
      <c r="A28" s="9">
        <v>46017</v>
      </c>
      <c r="B28" s="2" t="s">
        <v>10</v>
      </c>
      <c r="C28" s="2" t="s">
        <v>1110</v>
      </c>
      <c r="D28" s="2" t="s">
        <v>1111</v>
      </c>
      <c r="E28" s="13"/>
      <c r="F28" s="13">
        <v>4600</v>
      </c>
      <c r="G28" s="3">
        <f t="shared" si="0"/>
        <v>18350</v>
      </c>
      <c r="H28" s="2" t="str">
        <f t="shared" si="1"/>
        <v>CR</v>
      </c>
    </row>
    <row r="29" spans="1:8" ht="21" customHeight="1" x14ac:dyDescent="0.25">
      <c r="A29" s="9">
        <v>46021</v>
      </c>
      <c r="B29" s="2" t="s">
        <v>634</v>
      </c>
      <c r="C29" s="2" t="s">
        <v>634</v>
      </c>
      <c r="D29" s="2" t="s">
        <v>690</v>
      </c>
      <c r="E29" s="13">
        <v>10000</v>
      </c>
      <c r="F29" s="13"/>
      <c r="G29" s="3">
        <f>G28+F29-E29</f>
        <v>8350</v>
      </c>
      <c r="H29" s="2" t="str">
        <f t="shared" si="1"/>
        <v>CR</v>
      </c>
    </row>
    <row r="30" spans="1:8" ht="21" customHeight="1" x14ac:dyDescent="0.25">
      <c r="A30" s="9">
        <v>46025</v>
      </c>
      <c r="B30" s="2" t="s">
        <v>10</v>
      </c>
      <c r="C30" s="12" t="s">
        <v>1112</v>
      </c>
      <c r="D30" s="2" t="s">
        <v>570</v>
      </c>
      <c r="E30" s="13"/>
      <c r="F30" s="13">
        <v>3000</v>
      </c>
      <c r="G30" s="3">
        <f>G29+F30-E30</f>
        <v>11350</v>
      </c>
      <c r="H30" s="2" t="str">
        <f t="shared" si="1"/>
        <v>CR</v>
      </c>
    </row>
    <row r="31" spans="1:8" ht="21" customHeight="1" x14ac:dyDescent="0.25">
      <c r="A31" s="9">
        <v>46025</v>
      </c>
      <c r="B31" s="2" t="s">
        <v>10</v>
      </c>
      <c r="C31" s="2" t="s">
        <v>1113</v>
      </c>
      <c r="D31" s="2" t="s">
        <v>496</v>
      </c>
      <c r="E31" s="13"/>
      <c r="F31" s="13">
        <v>3150</v>
      </c>
      <c r="G31" s="13">
        <f t="shared" si="0"/>
        <v>14500</v>
      </c>
      <c r="H31" s="83" t="str">
        <f t="shared" si="1"/>
        <v>CR</v>
      </c>
    </row>
    <row r="32" spans="1:8" ht="21" customHeight="1" x14ac:dyDescent="0.25">
      <c r="A32" s="9">
        <v>46027</v>
      </c>
      <c r="B32" s="2" t="s">
        <v>1071</v>
      </c>
      <c r="C32" s="2" t="s">
        <v>1096</v>
      </c>
      <c r="D32" s="2" t="s">
        <v>570</v>
      </c>
      <c r="E32" s="13">
        <v>3000</v>
      </c>
      <c r="F32" s="13"/>
      <c r="G32" s="3">
        <f t="shared" si="0"/>
        <v>11500</v>
      </c>
      <c r="H32" s="2" t="str">
        <f t="shared" si="1"/>
        <v>CR</v>
      </c>
    </row>
    <row r="33" spans="1:8" ht="21" customHeight="1" x14ac:dyDescent="0.25">
      <c r="A33" s="9">
        <v>46039</v>
      </c>
      <c r="B33" s="2" t="s">
        <v>634</v>
      </c>
      <c r="C33" s="2" t="s">
        <v>634</v>
      </c>
      <c r="D33" s="2" t="s">
        <v>690</v>
      </c>
      <c r="E33" s="13">
        <v>10000</v>
      </c>
      <c r="F33" s="13"/>
      <c r="G33" s="3">
        <f t="shared" si="0"/>
        <v>1500</v>
      </c>
      <c r="H33" s="2" t="str">
        <f t="shared" si="1"/>
        <v>CR</v>
      </c>
    </row>
    <row r="34" spans="1:8" ht="21" customHeight="1" x14ac:dyDescent="0.25">
      <c r="A34" s="9">
        <v>46051</v>
      </c>
      <c r="B34" s="2" t="s">
        <v>10</v>
      </c>
      <c r="C34" s="2" t="s">
        <v>1115</v>
      </c>
      <c r="D34" s="2" t="s">
        <v>1116</v>
      </c>
      <c r="E34" s="13"/>
      <c r="F34" s="13">
        <v>3150</v>
      </c>
      <c r="G34" s="3">
        <f t="shared" si="0"/>
        <v>4650</v>
      </c>
      <c r="H34" s="2" t="str">
        <f t="shared" si="1"/>
        <v>CR</v>
      </c>
    </row>
    <row r="35" spans="1:8" ht="21" customHeight="1" x14ac:dyDescent="0.25">
      <c r="A35" s="9"/>
      <c r="B35" s="2"/>
      <c r="C35" s="2"/>
      <c r="D35" s="2"/>
      <c r="E35" s="13"/>
      <c r="F35" s="13"/>
      <c r="G35" s="3">
        <f>G34+F35-E35</f>
        <v>4650</v>
      </c>
      <c r="H35" s="2" t="str">
        <f t="shared" si="1"/>
        <v>CR</v>
      </c>
    </row>
    <row r="36" spans="1:8" ht="21" customHeight="1" x14ac:dyDescent="0.25">
      <c r="A36" s="10"/>
      <c r="B36" s="4"/>
      <c r="C36" s="4"/>
      <c r="D36" s="4" t="s">
        <v>9</v>
      </c>
      <c r="E36" s="5">
        <f>SUM(E6:E35)</f>
        <v>114750</v>
      </c>
      <c r="F36" s="5">
        <f>SUM(F6:F35)</f>
        <v>97850</v>
      </c>
      <c r="G36" s="5">
        <f>G5+F36-E36</f>
        <v>4650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hyperlinks>
    <hyperlink ref="J1" location="'PAYABLES-2024'!A1" display="PAYABLE HOME" xr:uid="{1F3F90E1-2906-4A04-B74B-8BDEAAEF1586}"/>
  </hyperlinks>
  <printOptions horizontalCentered="1"/>
  <pageMargins left="0.7" right="0.7" top="0.75" bottom="0.75" header="0.3" footer="0.3"/>
  <pageSetup paperSize="9" scale="84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FE85-566F-478C-A404-F133DE96AD87}">
  <sheetPr>
    <pageSetUpPr fitToPage="1"/>
  </sheetPr>
  <dimension ref="A1:J36"/>
  <sheetViews>
    <sheetView zoomScaleNormal="100" workbookViewId="0">
      <pane ySplit="4" topLeftCell="A26" activePane="bottomLeft" state="frozen"/>
      <selection pane="bottomLeft" sqref="A1:H1"/>
    </sheetView>
  </sheetViews>
  <sheetFormatPr defaultRowHeight="15" x14ac:dyDescent="0.25"/>
  <cols>
    <col min="1" max="1" width="12.7109375" style="11" bestFit="1" customWidth="1"/>
    <col min="2" max="2" width="13.28515625" bestFit="1" customWidth="1"/>
    <col min="3" max="3" width="19.5703125" bestFit="1" customWidth="1"/>
    <col min="4" max="4" width="39.140625" customWidth="1"/>
    <col min="5" max="6" width="9" style="1" bestFit="1" customWidth="1"/>
    <col min="7" max="7" width="9.85546875" style="1" customWidth="1"/>
    <col min="8" max="8" width="4.140625" customWidth="1"/>
    <col min="10" max="10" width="14.7109375" bestFit="1" customWidth="1"/>
  </cols>
  <sheetData>
    <row r="1" spans="1:10" ht="15.75" x14ac:dyDescent="0.25">
      <c r="A1" s="100" t="s">
        <v>0</v>
      </c>
      <c r="B1" s="100"/>
      <c r="C1" s="100"/>
      <c r="D1" s="100"/>
      <c r="E1" s="100"/>
      <c r="F1" s="100"/>
      <c r="G1" s="100"/>
      <c r="H1" s="100"/>
      <c r="J1" s="42" t="s">
        <v>670</v>
      </c>
    </row>
    <row r="2" spans="1:10" ht="15.75" x14ac:dyDescent="0.25">
      <c r="A2" s="100" t="s">
        <v>12</v>
      </c>
      <c r="B2" s="100"/>
      <c r="C2" s="100"/>
      <c r="D2" s="100"/>
      <c r="E2" s="100"/>
      <c r="F2" s="100"/>
      <c r="G2" s="100"/>
      <c r="H2" s="100"/>
    </row>
    <row r="3" spans="1:10" x14ac:dyDescent="0.25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10" ht="21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6" t="s">
        <v>5</v>
      </c>
      <c r="F4" s="16" t="s">
        <v>6</v>
      </c>
      <c r="G4" s="102" t="s">
        <v>7</v>
      </c>
      <c r="H4" s="102"/>
    </row>
    <row r="5" spans="1:10" ht="21" customHeight="1" x14ac:dyDescent="0.25">
      <c r="A5" s="9"/>
      <c r="B5" s="2"/>
      <c r="C5" s="2"/>
      <c r="D5" s="2"/>
      <c r="E5" s="3"/>
      <c r="F5" s="3"/>
      <c r="G5" s="3">
        <f>'AL AZIZ-LHR-17 '!G36</f>
        <v>4650</v>
      </c>
      <c r="H5" s="2"/>
    </row>
    <row r="6" spans="1:10" ht="21" customHeight="1" x14ac:dyDescent="0.25">
      <c r="A6" s="9">
        <v>46067</v>
      </c>
      <c r="B6" s="2" t="s">
        <v>10</v>
      </c>
      <c r="C6" s="2" t="s">
        <v>1120</v>
      </c>
      <c r="D6" s="2" t="s">
        <v>1121</v>
      </c>
      <c r="E6" s="13"/>
      <c r="F6" s="13">
        <v>3150</v>
      </c>
      <c r="G6" s="3">
        <f>G5+F6-E6</f>
        <v>7800</v>
      </c>
      <c r="H6" s="2" t="str">
        <f>IF(G6=0,"NIL",IF(G6&gt;0,"CR","DR"))</f>
        <v>CR</v>
      </c>
    </row>
    <row r="7" spans="1:10" ht="21" customHeight="1" x14ac:dyDescent="0.25">
      <c r="A7" s="9">
        <v>46083</v>
      </c>
      <c r="B7" s="2" t="s">
        <v>10</v>
      </c>
      <c r="C7" s="2" t="s">
        <v>1122</v>
      </c>
      <c r="D7" s="2" t="s">
        <v>1123</v>
      </c>
      <c r="E7" s="13"/>
      <c r="F7" s="13">
        <v>3150</v>
      </c>
      <c r="G7" s="3">
        <f t="shared" ref="G7:G34" si="0">G6+F7-E7</f>
        <v>10950</v>
      </c>
      <c r="H7" s="2" t="str">
        <f t="shared" ref="H7:H36" si="1">IF(G7=0,"NIL",IF(G7&gt;0,"CR","DR"))</f>
        <v>CR</v>
      </c>
    </row>
    <row r="8" spans="1:10" ht="21" customHeight="1" x14ac:dyDescent="0.25">
      <c r="A8" s="9">
        <v>46085</v>
      </c>
      <c r="B8" s="2" t="s">
        <v>10</v>
      </c>
      <c r="C8" s="2" t="s">
        <v>1124</v>
      </c>
      <c r="D8" s="2" t="s">
        <v>525</v>
      </c>
      <c r="E8" s="13"/>
      <c r="F8" s="13">
        <v>3150</v>
      </c>
      <c r="G8" s="3">
        <f t="shared" si="0"/>
        <v>14100</v>
      </c>
      <c r="H8" s="2" t="str">
        <f t="shared" si="1"/>
        <v>CR</v>
      </c>
    </row>
    <row r="9" spans="1:10" ht="21" customHeight="1" x14ac:dyDescent="0.25">
      <c r="A9" s="9">
        <v>46083</v>
      </c>
      <c r="B9" s="2" t="s">
        <v>859</v>
      </c>
      <c r="C9" s="2" t="s">
        <v>1071</v>
      </c>
      <c r="D9" s="2" t="s">
        <v>1123</v>
      </c>
      <c r="E9" s="13">
        <v>3000</v>
      </c>
      <c r="F9" s="13"/>
      <c r="G9" s="3">
        <f t="shared" si="0"/>
        <v>11100</v>
      </c>
      <c r="H9" s="2" t="str">
        <f t="shared" si="1"/>
        <v>CR</v>
      </c>
    </row>
    <row r="10" spans="1:10" ht="21" customHeight="1" x14ac:dyDescent="0.25">
      <c r="A10" s="9">
        <v>46083</v>
      </c>
      <c r="B10" s="2" t="s">
        <v>859</v>
      </c>
      <c r="C10" s="2" t="s">
        <v>1124</v>
      </c>
      <c r="D10" s="2" t="s">
        <v>525</v>
      </c>
      <c r="E10" s="13">
        <v>3000</v>
      </c>
      <c r="F10" s="13"/>
      <c r="G10" s="3">
        <f t="shared" si="0"/>
        <v>8100</v>
      </c>
      <c r="H10" s="2" t="str">
        <f t="shared" si="1"/>
        <v>CR</v>
      </c>
    </row>
    <row r="11" spans="1:10" ht="21" customHeight="1" x14ac:dyDescent="0.25">
      <c r="A11" s="9">
        <v>46092</v>
      </c>
      <c r="B11" s="2" t="s">
        <v>10</v>
      </c>
      <c r="C11" s="2" t="s">
        <v>1125</v>
      </c>
      <c r="D11" s="2" t="s">
        <v>1126</v>
      </c>
      <c r="E11" s="13"/>
      <c r="F11" s="13">
        <v>4700</v>
      </c>
      <c r="G11" s="3">
        <f t="shared" si="0"/>
        <v>12800</v>
      </c>
      <c r="H11" s="2" t="str">
        <f t="shared" si="1"/>
        <v>CR</v>
      </c>
    </row>
    <row r="12" spans="1:10" ht="21" customHeight="1" x14ac:dyDescent="0.25">
      <c r="A12" s="9">
        <v>46093</v>
      </c>
      <c r="B12" s="2" t="s">
        <v>10</v>
      </c>
      <c r="C12" s="2" t="s">
        <v>1127</v>
      </c>
      <c r="D12" s="2" t="s">
        <v>1128</v>
      </c>
      <c r="E12" s="13"/>
      <c r="F12" s="13">
        <v>4650</v>
      </c>
      <c r="G12" s="3">
        <f t="shared" si="0"/>
        <v>17450</v>
      </c>
      <c r="H12" s="2" t="str">
        <f t="shared" si="1"/>
        <v>CR</v>
      </c>
    </row>
    <row r="13" spans="1:10" ht="21" customHeight="1" x14ac:dyDescent="0.25">
      <c r="A13" s="9">
        <v>46121</v>
      </c>
      <c r="B13" s="2" t="s">
        <v>10</v>
      </c>
      <c r="C13" s="2" t="s">
        <v>1144</v>
      </c>
      <c r="D13" s="2" t="s">
        <v>1143</v>
      </c>
      <c r="E13" s="13"/>
      <c r="F13" s="13">
        <v>9750</v>
      </c>
      <c r="G13" s="3">
        <f t="shared" si="0"/>
        <v>27200</v>
      </c>
      <c r="H13" s="2" t="str">
        <f t="shared" si="1"/>
        <v>CR</v>
      </c>
    </row>
    <row r="14" spans="1:10" ht="21" customHeight="1" x14ac:dyDescent="0.25">
      <c r="A14" s="9">
        <v>46126</v>
      </c>
      <c r="B14" s="2" t="s">
        <v>634</v>
      </c>
      <c r="C14" s="2" t="s">
        <v>634</v>
      </c>
      <c r="D14" s="2" t="s">
        <v>690</v>
      </c>
      <c r="E14" s="13">
        <v>20000</v>
      </c>
      <c r="F14" s="13"/>
      <c r="G14" s="13">
        <f t="shared" si="0"/>
        <v>7200</v>
      </c>
      <c r="H14" s="2" t="str">
        <f t="shared" si="1"/>
        <v>CR</v>
      </c>
    </row>
    <row r="15" spans="1:10" ht="21" customHeight="1" x14ac:dyDescent="0.25">
      <c r="A15" s="9">
        <v>46127</v>
      </c>
      <c r="B15" s="2" t="s">
        <v>10</v>
      </c>
      <c r="C15" s="2" t="s">
        <v>1145</v>
      </c>
      <c r="D15" s="2" t="s">
        <v>1146</v>
      </c>
      <c r="E15" s="13"/>
      <c r="F15" s="13">
        <v>5150</v>
      </c>
      <c r="G15" s="3">
        <f t="shared" si="0"/>
        <v>12350</v>
      </c>
      <c r="H15" s="2" t="str">
        <f t="shared" si="1"/>
        <v>CR</v>
      </c>
    </row>
    <row r="16" spans="1:10" ht="21" customHeight="1" x14ac:dyDescent="0.25">
      <c r="A16" s="9">
        <v>46133</v>
      </c>
      <c r="B16" s="2" t="s">
        <v>10</v>
      </c>
      <c r="C16" s="2" t="s">
        <v>1160</v>
      </c>
      <c r="D16" s="2" t="s">
        <v>327</v>
      </c>
      <c r="E16" s="13"/>
      <c r="F16" s="13">
        <v>3150</v>
      </c>
      <c r="G16" s="3">
        <f t="shared" si="0"/>
        <v>15500</v>
      </c>
      <c r="H16" s="2" t="str">
        <f t="shared" si="1"/>
        <v>CR</v>
      </c>
    </row>
    <row r="17" spans="1:8" ht="21" customHeight="1" x14ac:dyDescent="0.25">
      <c r="A17" s="9">
        <v>46134</v>
      </c>
      <c r="B17" s="2" t="s">
        <v>10</v>
      </c>
      <c r="C17" s="2" t="s">
        <v>1161</v>
      </c>
      <c r="D17" s="2" t="s">
        <v>1162</v>
      </c>
      <c r="E17" s="13"/>
      <c r="F17" s="13">
        <v>1550</v>
      </c>
      <c r="G17" s="3">
        <f t="shared" si="0"/>
        <v>17050</v>
      </c>
      <c r="H17" s="2" t="str">
        <f t="shared" si="1"/>
        <v>CR</v>
      </c>
    </row>
    <row r="18" spans="1:8" ht="21" customHeight="1" x14ac:dyDescent="0.25">
      <c r="A18" s="9">
        <v>46137</v>
      </c>
      <c r="B18" s="2" t="s">
        <v>10</v>
      </c>
      <c r="C18" s="2" t="s">
        <v>1163</v>
      </c>
      <c r="D18" s="2" t="s">
        <v>1007</v>
      </c>
      <c r="E18" s="13"/>
      <c r="F18" s="13">
        <v>1550</v>
      </c>
      <c r="G18" s="3">
        <f>G17+F18-E18</f>
        <v>18600</v>
      </c>
      <c r="H18" s="2" t="str">
        <f t="shared" si="1"/>
        <v>CR</v>
      </c>
    </row>
    <row r="19" spans="1:8" ht="21" customHeight="1" x14ac:dyDescent="0.25">
      <c r="A19" s="9">
        <v>46140</v>
      </c>
      <c r="B19" s="2" t="s">
        <v>634</v>
      </c>
      <c r="C19" s="2" t="s">
        <v>634</v>
      </c>
      <c r="D19" s="2" t="s">
        <v>690</v>
      </c>
      <c r="E19" s="13">
        <v>10000</v>
      </c>
      <c r="F19" s="13"/>
      <c r="G19" s="3">
        <f t="shared" si="0"/>
        <v>8600</v>
      </c>
      <c r="H19" s="2" t="str">
        <f t="shared" si="1"/>
        <v>CR</v>
      </c>
    </row>
    <row r="20" spans="1:8" ht="21" customHeight="1" x14ac:dyDescent="0.25">
      <c r="A20" s="9">
        <v>46139</v>
      </c>
      <c r="B20" s="2" t="s">
        <v>10</v>
      </c>
      <c r="C20" s="2" t="s">
        <v>1164</v>
      </c>
      <c r="D20" s="2" t="s">
        <v>1165</v>
      </c>
      <c r="E20" s="13"/>
      <c r="F20" s="13">
        <v>6150</v>
      </c>
      <c r="G20" s="3">
        <f t="shared" si="0"/>
        <v>14750</v>
      </c>
      <c r="H20" s="2" t="str">
        <f t="shared" si="1"/>
        <v>CR</v>
      </c>
    </row>
    <row r="21" spans="1:8" ht="21" customHeight="1" x14ac:dyDescent="0.25">
      <c r="A21" s="9">
        <v>46140</v>
      </c>
      <c r="B21" s="2" t="s">
        <v>1071</v>
      </c>
      <c r="C21" s="2" t="s">
        <v>1071</v>
      </c>
      <c r="D21" s="2" t="s">
        <v>1165</v>
      </c>
      <c r="E21" s="13">
        <v>6000</v>
      </c>
      <c r="F21" s="13"/>
      <c r="G21" s="3">
        <f t="shared" si="0"/>
        <v>8750</v>
      </c>
      <c r="H21" s="2" t="str">
        <f t="shared" si="1"/>
        <v>CR</v>
      </c>
    </row>
    <row r="22" spans="1:8" ht="21" customHeight="1" x14ac:dyDescent="0.25">
      <c r="A22" s="9">
        <v>46141</v>
      </c>
      <c r="B22" s="2" t="s">
        <v>10</v>
      </c>
      <c r="C22" s="2" t="s">
        <v>1175</v>
      </c>
      <c r="D22" s="2" t="s">
        <v>1176</v>
      </c>
      <c r="E22" s="13"/>
      <c r="F22" s="13">
        <v>3000</v>
      </c>
      <c r="G22" s="3">
        <f t="shared" si="0"/>
        <v>11750</v>
      </c>
      <c r="H22" s="2" t="str">
        <f t="shared" si="1"/>
        <v>CR</v>
      </c>
    </row>
    <row r="23" spans="1:8" ht="21" customHeight="1" x14ac:dyDescent="0.25">
      <c r="A23" s="9">
        <v>46140</v>
      </c>
      <c r="B23" s="2" t="s">
        <v>1071</v>
      </c>
      <c r="C23" s="2" t="s">
        <v>1071</v>
      </c>
      <c r="D23" s="9" t="s">
        <v>1177</v>
      </c>
      <c r="E23" s="13">
        <v>3000</v>
      </c>
      <c r="F23" s="13"/>
      <c r="G23" s="3">
        <f t="shared" si="0"/>
        <v>8750</v>
      </c>
      <c r="H23" s="2" t="str">
        <f t="shared" si="1"/>
        <v>CR</v>
      </c>
    </row>
    <row r="24" spans="1:8" ht="21" customHeight="1" x14ac:dyDescent="0.25">
      <c r="A24" s="9">
        <v>46142</v>
      </c>
      <c r="B24" s="2" t="s">
        <v>10</v>
      </c>
      <c r="C24" s="2" t="s">
        <v>1178</v>
      </c>
      <c r="D24" s="2" t="s">
        <v>1179</v>
      </c>
      <c r="E24" s="13"/>
      <c r="F24" s="13">
        <v>4400</v>
      </c>
      <c r="G24" s="13">
        <f t="shared" si="0"/>
        <v>13150</v>
      </c>
      <c r="H24" s="2" t="str">
        <f t="shared" si="1"/>
        <v>CR</v>
      </c>
    </row>
    <row r="25" spans="1:8" ht="21" customHeight="1" x14ac:dyDescent="0.25">
      <c r="A25" s="9">
        <v>46146</v>
      </c>
      <c r="B25" s="2" t="s">
        <v>10</v>
      </c>
      <c r="C25" s="2" t="s">
        <v>1180</v>
      </c>
      <c r="D25" s="2" t="s">
        <v>1181</v>
      </c>
      <c r="E25" s="13"/>
      <c r="F25" s="13">
        <v>3000</v>
      </c>
      <c r="G25" s="13">
        <f t="shared" si="0"/>
        <v>16150</v>
      </c>
      <c r="H25" s="2" t="str">
        <f t="shared" si="1"/>
        <v>CR</v>
      </c>
    </row>
    <row r="26" spans="1:8" ht="21" customHeight="1" x14ac:dyDescent="0.25">
      <c r="A26" s="9">
        <v>46174</v>
      </c>
      <c r="B26" s="2" t="s">
        <v>10</v>
      </c>
      <c r="C26" s="2" t="s">
        <v>1188</v>
      </c>
      <c r="D26" s="2" t="s">
        <v>1187</v>
      </c>
      <c r="E26" s="13"/>
      <c r="F26" s="13">
        <v>5200</v>
      </c>
      <c r="G26" s="13">
        <f t="shared" si="0"/>
        <v>21350</v>
      </c>
      <c r="H26" s="83" t="str">
        <f t="shared" si="1"/>
        <v>CR</v>
      </c>
    </row>
    <row r="27" spans="1:8" ht="21" customHeight="1" x14ac:dyDescent="0.25">
      <c r="A27" s="9">
        <v>46177</v>
      </c>
      <c r="B27" s="2" t="s">
        <v>10</v>
      </c>
      <c r="C27" s="2" t="s">
        <v>1189</v>
      </c>
      <c r="D27" s="2" t="s">
        <v>1190</v>
      </c>
      <c r="E27" s="13"/>
      <c r="F27" s="13">
        <v>3000</v>
      </c>
      <c r="G27" s="3">
        <f t="shared" si="0"/>
        <v>24350</v>
      </c>
      <c r="H27" s="2" t="str">
        <f t="shared" si="1"/>
        <v>CR</v>
      </c>
    </row>
    <row r="28" spans="1:8" ht="21" customHeight="1" x14ac:dyDescent="0.25">
      <c r="A28" s="9">
        <v>46182</v>
      </c>
      <c r="B28" s="2" t="s">
        <v>634</v>
      </c>
      <c r="C28" s="2" t="s">
        <v>634</v>
      </c>
      <c r="D28" s="2" t="s">
        <v>690</v>
      </c>
      <c r="E28" s="13">
        <v>15000</v>
      </c>
      <c r="F28" s="13"/>
      <c r="G28" s="3">
        <f t="shared" si="0"/>
        <v>9350</v>
      </c>
      <c r="H28" s="2" t="str">
        <f t="shared" si="1"/>
        <v>CR</v>
      </c>
    </row>
    <row r="29" spans="1:8" ht="21" customHeight="1" x14ac:dyDescent="0.25">
      <c r="A29" s="9">
        <v>46200</v>
      </c>
      <c r="B29" s="2" t="s">
        <v>10</v>
      </c>
      <c r="C29" s="2" t="s">
        <v>1195</v>
      </c>
      <c r="D29" s="2" t="s">
        <v>1187</v>
      </c>
      <c r="E29" s="13"/>
      <c r="F29" s="13">
        <v>5150</v>
      </c>
      <c r="G29" s="3">
        <f>G28+F29-E29</f>
        <v>14500</v>
      </c>
      <c r="H29" s="2" t="str">
        <f t="shared" si="1"/>
        <v>CR</v>
      </c>
    </row>
    <row r="30" spans="1:8" ht="21" customHeight="1" x14ac:dyDescent="0.25">
      <c r="A30" s="9">
        <v>46202</v>
      </c>
      <c r="B30" s="2" t="s">
        <v>10</v>
      </c>
      <c r="C30" s="12" t="s">
        <v>1196</v>
      </c>
      <c r="D30" s="2" t="s">
        <v>1197</v>
      </c>
      <c r="E30" s="13"/>
      <c r="F30" s="13">
        <v>14300</v>
      </c>
      <c r="G30" s="3">
        <f>G29+F30-E30</f>
        <v>28800</v>
      </c>
      <c r="H30" s="2" t="str">
        <f t="shared" si="1"/>
        <v>CR</v>
      </c>
    </row>
    <row r="31" spans="1:8" ht="21" customHeight="1" x14ac:dyDescent="0.25">
      <c r="A31" s="9">
        <v>46205</v>
      </c>
      <c r="B31" s="2" t="s">
        <v>634</v>
      </c>
      <c r="C31" s="2" t="s">
        <v>634</v>
      </c>
      <c r="D31" s="2" t="s">
        <v>690</v>
      </c>
      <c r="E31" s="13">
        <v>20000</v>
      </c>
      <c r="F31" s="13"/>
      <c r="G31" s="13">
        <f t="shared" si="0"/>
        <v>8800</v>
      </c>
      <c r="H31" s="83" t="str">
        <f t="shared" si="1"/>
        <v>CR</v>
      </c>
    </row>
    <row r="32" spans="1:8" ht="21" customHeight="1" x14ac:dyDescent="0.25">
      <c r="A32" s="9">
        <v>46211</v>
      </c>
      <c r="B32" s="2" t="s">
        <v>10</v>
      </c>
      <c r="C32" s="2" t="s">
        <v>1205</v>
      </c>
      <c r="D32" s="2" t="s">
        <v>1206</v>
      </c>
      <c r="E32" s="13"/>
      <c r="F32" s="13">
        <v>7800</v>
      </c>
      <c r="G32" s="3">
        <f t="shared" si="0"/>
        <v>16600</v>
      </c>
      <c r="H32" s="2" t="str">
        <f t="shared" si="1"/>
        <v>CR</v>
      </c>
    </row>
    <row r="33" spans="1:8" ht="21" customHeight="1" x14ac:dyDescent="0.25">
      <c r="A33" s="9">
        <v>46219</v>
      </c>
      <c r="B33" s="2" t="s">
        <v>10</v>
      </c>
      <c r="C33" s="2" t="s">
        <v>1209</v>
      </c>
      <c r="D33" s="2" t="s">
        <v>1210</v>
      </c>
      <c r="E33" s="13"/>
      <c r="F33" s="13">
        <v>2150</v>
      </c>
      <c r="G33" s="3">
        <f t="shared" si="0"/>
        <v>18750</v>
      </c>
      <c r="H33" s="2" t="str">
        <f t="shared" si="1"/>
        <v>CR</v>
      </c>
    </row>
    <row r="34" spans="1:8" ht="21" customHeight="1" x14ac:dyDescent="0.25">
      <c r="A34" s="9">
        <v>46225</v>
      </c>
      <c r="B34" s="2" t="s">
        <v>10</v>
      </c>
      <c r="C34" s="2" t="s">
        <v>1211</v>
      </c>
      <c r="D34" s="2" t="s">
        <v>1212</v>
      </c>
      <c r="E34" s="13"/>
      <c r="F34" s="13">
        <v>4950</v>
      </c>
      <c r="G34" s="3">
        <f t="shared" si="0"/>
        <v>23700</v>
      </c>
      <c r="H34" s="2" t="str">
        <f t="shared" si="1"/>
        <v>CR</v>
      </c>
    </row>
    <row r="35" spans="1:8" ht="21" customHeight="1" x14ac:dyDescent="0.25">
      <c r="A35" s="9"/>
      <c r="B35" s="2"/>
      <c r="C35" s="2"/>
      <c r="D35" s="2"/>
      <c r="E35" s="13"/>
      <c r="F35" s="13"/>
      <c r="G35" s="3">
        <f>G34+F35-E35</f>
        <v>23700</v>
      </c>
      <c r="H35" s="2" t="str">
        <f t="shared" si="1"/>
        <v>CR</v>
      </c>
    </row>
    <row r="36" spans="1:8" ht="21" customHeight="1" x14ac:dyDescent="0.25">
      <c r="A36" s="10"/>
      <c r="B36" s="4"/>
      <c r="C36" s="4"/>
      <c r="D36" s="4" t="s">
        <v>9</v>
      </c>
      <c r="E36" s="5">
        <f>SUM(E6:E35)</f>
        <v>80000</v>
      </c>
      <c r="F36" s="5">
        <f>SUM(F6:F35)</f>
        <v>99050</v>
      </c>
      <c r="G36" s="5">
        <f>G5+F36-E36</f>
        <v>23700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hyperlinks>
    <hyperlink ref="J1" location="'PAYABLES-2024'!A1" display="PAYABLE HOME" xr:uid="{BA1424D1-9567-4F25-92DB-04E4752523D3}"/>
  </hyperlinks>
  <printOptions horizontalCentered="1"/>
  <pageMargins left="0.7" right="0.7" top="0.75" bottom="0.75" header="0.3" footer="0.3"/>
  <pageSetup paperSize="9" scale="84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1E59-C97B-4BAB-94C2-2EA4C33F208B}">
  <sheetPr>
    <pageSetUpPr fitToPage="1"/>
  </sheetPr>
  <dimension ref="A1:J36"/>
  <sheetViews>
    <sheetView zoomScaleNormal="100" workbookViewId="0">
      <pane ySplit="4" topLeftCell="A9" activePane="bottomLeft" state="frozen"/>
      <selection pane="bottomLeft" activeCell="J1" sqref="J1"/>
    </sheetView>
  </sheetViews>
  <sheetFormatPr defaultRowHeight="15" x14ac:dyDescent="0.25"/>
  <cols>
    <col min="1" max="1" width="12.7109375" style="11" bestFit="1" customWidth="1"/>
    <col min="2" max="2" width="13.28515625" bestFit="1" customWidth="1"/>
    <col min="3" max="3" width="19.5703125" bestFit="1" customWidth="1"/>
    <col min="4" max="4" width="39.140625" customWidth="1"/>
    <col min="5" max="6" width="9" style="1" bestFit="1" customWidth="1"/>
    <col min="7" max="7" width="9.85546875" style="1" customWidth="1"/>
    <col min="8" max="8" width="4.140625" customWidth="1"/>
    <col min="10" max="10" width="14.7109375" bestFit="1" customWidth="1"/>
  </cols>
  <sheetData>
    <row r="1" spans="1:10" ht="15.75" x14ac:dyDescent="0.25">
      <c r="A1" s="100" t="s">
        <v>0</v>
      </c>
      <c r="B1" s="100"/>
      <c r="C1" s="100"/>
      <c r="D1" s="100"/>
      <c r="E1" s="100"/>
      <c r="F1" s="100"/>
      <c r="G1" s="100"/>
      <c r="H1" s="100"/>
      <c r="J1" s="42" t="s">
        <v>670</v>
      </c>
    </row>
    <row r="2" spans="1:10" ht="15.75" x14ac:dyDescent="0.25">
      <c r="A2" s="100" t="s">
        <v>12</v>
      </c>
      <c r="B2" s="100"/>
      <c r="C2" s="100"/>
      <c r="D2" s="100"/>
      <c r="E2" s="100"/>
      <c r="F2" s="100"/>
      <c r="G2" s="100"/>
      <c r="H2" s="100"/>
    </row>
    <row r="3" spans="1:10" x14ac:dyDescent="0.25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10" ht="21" customHeight="1" x14ac:dyDescent="0.25">
      <c r="A4" s="14" t="s">
        <v>1</v>
      </c>
      <c r="B4" s="15" t="s">
        <v>2</v>
      </c>
      <c r="C4" s="15" t="s">
        <v>3</v>
      </c>
      <c r="D4" s="15" t="s">
        <v>4</v>
      </c>
      <c r="E4" s="16" t="s">
        <v>5</v>
      </c>
      <c r="F4" s="16" t="s">
        <v>6</v>
      </c>
      <c r="G4" s="102" t="s">
        <v>7</v>
      </c>
      <c r="H4" s="102"/>
    </row>
    <row r="5" spans="1:10" ht="21" customHeight="1" x14ac:dyDescent="0.25">
      <c r="A5" s="9"/>
      <c r="B5" s="2"/>
      <c r="C5" s="2"/>
      <c r="D5" s="2"/>
      <c r="E5" s="3"/>
      <c r="F5" s="3"/>
      <c r="G5" s="3">
        <f>'AL AZIZ-LHR-18'!G36</f>
        <v>23700</v>
      </c>
      <c r="H5" s="2"/>
    </row>
    <row r="6" spans="1:10" ht="21" customHeight="1" x14ac:dyDescent="0.25">
      <c r="A6" s="9">
        <v>46230</v>
      </c>
      <c r="B6" s="2" t="s">
        <v>10</v>
      </c>
      <c r="C6" s="2" t="s">
        <v>1215</v>
      </c>
      <c r="D6" s="2" t="s">
        <v>1216</v>
      </c>
      <c r="E6" s="13"/>
      <c r="F6" s="13">
        <v>10000</v>
      </c>
      <c r="G6" s="3">
        <f>G5+F6-E6</f>
        <v>33700</v>
      </c>
      <c r="H6" s="2" t="str">
        <f>IF(G6=0,"NIL",IF(G6&gt;0,"CR","DR"))</f>
        <v>CR</v>
      </c>
    </row>
    <row r="7" spans="1:10" ht="21" customHeight="1" x14ac:dyDescent="0.25">
      <c r="A7" s="9">
        <v>46231</v>
      </c>
      <c r="B7" s="2" t="s">
        <v>10</v>
      </c>
      <c r="C7" s="2" t="s">
        <v>1217</v>
      </c>
      <c r="D7" s="2" t="s">
        <v>1218</v>
      </c>
      <c r="E7" s="13"/>
      <c r="F7" s="13">
        <v>3650</v>
      </c>
      <c r="G7" s="3">
        <f t="shared" ref="G7:G34" si="0">G6+F7-E7</f>
        <v>37350</v>
      </c>
      <c r="H7" s="2" t="str">
        <f t="shared" ref="H7:H36" si="1">IF(G7=0,"NIL",IF(G7&gt;0,"CR","DR"))</f>
        <v>CR</v>
      </c>
    </row>
    <row r="8" spans="1:10" ht="21" customHeight="1" x14ac:dyDescent="0.25">
      <c r="A8" s="9">
        <v>46233</v>
      </c>
      <c r="B8" s="2" t="s">
        <v>634</v>
      </c>
      <c r="C8" s="2" t="s">
        <v>634</v>
      </c>
      <c r="D8" s="2" t="s">
        <v>690</v>
      </c>
      <c r="E8" s="13">
        <v>20000</v>
      </c>
      <c r="F8" s="13"/>
      <c r="G8" s="3">
        <f t="shared" si="0"/>
        <v>17350</v>
      </c>
      <c r="H8" s="2" t="str">
        <f t="shared" si="1"/>
        <v>CR</v>
      </c>
    </row>
    <row r="9" spans="1:10" ht="21" customHeight="1" x14ac:dyDescent="0.25">
      <c r="A9" s="9">
        <v>46235</v>
      </c>
      <c r="B9" s="2" t="s">
        <v>10</v>
      </c>
      <c r="C9" s="2" t="s">
        <v>1220</v>
      </c>
      <c r="D9" s="2" t="s">
        <v>1221</v>
      </c>
      <c r="E9" s="13"/>
      <c r="F9" s="13">
        <v>2750</v>
      </c>
      <c r="G9" s="3">
        <f t="shared" si="0"/>
        <v>20100</v>
      </c>
      <c r="H9" s="2" t="str">
        <f t="shared" si="1"/>
        <v>CR</v>
      </c>
    </row>
    <row r="10" spans="1:10" ht="21" customHeight="1" x14ac:dyDescent="0.25">
      <c r="A10" s="9">
        <v>46237</v>
      </c>
      <c r="B10" s="2" t="s">
        <v>10</v>
      </c>
      <c r="C10" s="2" t="s">
        <v>1222</v>
      </c>
      <c r="D10" s="2" t="s">
        <v>1223</v>
      </c>
      <c r="E10" s="13"/>
      <c r="F10" s="13">
        <v>5250</v>
      </c>
      <c r="G10" s="3">
        <f t="shared" si="0"/>
        <v>25350</v>
      </c>
      <c r="H10" s="2" t="str">
        <f t="shared" si="1"/>
        <v>CR</v>
      </c>
    </row>
    <row r="11" spans="1:10" ht="21" customHeight="1" x14ac:dyDescent="0.25">
      <c r="A11" s="9">
        <v>46240</v>
      </c>
      <c r="B11" s="2" t="s">
        <v>10</v>
      </c>
      <c r="C11" s="2" t="s">
        <v>1224</v>
      </c>
      <c r="D11" s="2" t="s">
        <v>1227</v>
      </c>
      <c r="E11" s="13"/>
      <c r="F11" s="13">
        <v>4250</v>
      </c>
      <c r="G11" s="3">
        <f t="shared" si="0"/>
        <v>29600</v>
      </c>
      <c r="H11" s="2" t="str">
        <f t="shared" si="1"/>
        <v>CR</v>
      </c>
    </row>
    <row r="12" spans="1:10" ht="21" customHeight="1" x14ac:dyDescent="0.25">
      <c r="A12" s="9">
        <v>46241</v>
      </c>
      <c r="B12" s="2" t="s">
        <v>10</v>
      </c>
      <c r="C12" s="2" t="s">
        <v>1225</v>
      </c>
      <c r="D12" s="2" t="s">
        <v>1226</v>
      </c>
      <c r="E12" s="13"/>
      <c r="F12" s="13">
        <v>4650</v>
      </c>
      <c r="G12" s="3">
        <f t="shared" si="0"/>
        <v>34250</v>
      </c>
      <c r="H12" s="2" t="str">
        <f t="shared" si="1"/>
        <v>CR</v>
      </c>
    </row>
    <row r="13" spans="1:10" ht="21" customHeight="1" x14ac:dyDescent="0.25">
      <c r="A13" s="9">
        <v>46237</v>
      </c>
      <c r="B13" s="2" t="s">
        <v>10</v>
      </c>
      <c r="C13" s="2" t="s">
        <v>1229</v>
      </c>
      <c r="D13" s="2" t="s">
        <v>1228</v>
      </c>
      <c r="E13" s="13"/>
      <c r="F13" s="13">
        <v>5150</v>
      </c>
      <c r="G13" s="3">
        <f t="shared" si="0"/>
        <v>39400</v>
      </c>
      <c r="H13" s="2" t="str">
        <f t="shared" si="1"/>
        <v>CR</v>
      </c>
    </row>
    <row r="14" spans="1:10" ht="21" customHeight="1" x14ac:dyDescent="0.25">
      <c r="A14" s="9">
        <v>46244</v>
      </c>
      <c r="B14" s="2" t="s">
        <v>634</v>
      </c>
      <c r="C14" s="2" t="s">
        <v>634</v>
      </c>
      <c r="D14" s="2" t="s">
        <v>690</v>
      </c>
      <c r="E14" s="13">
        <v>15000</v>
      </c>
      <c r="F14" s="13"/>
      <c r="G14" s="13">
        <f t="shared" si="0"/>
        <v>24400</v>
      </c>
      <c r="H14" s="2" t="str">
        <f t="shared" si="1"/>
        <v>CR</v>
      </c>
    </row>
    <row r="15" spans="1:10" ht="21" customHeight="1" x14ac:dyDescent="0.25">
      <c r="A15" s="9">
        <v>46245</v>
      </c>
      <c r="B15" s="2" t="s">
        <v>10</v>
      </c>
      <c r="C15" s="2" t="s">
        <v>1232</v>
      </c>
      <c r="D15" s="2" t="s">
        <v>1233</v>
      </c>
      <c r="E15" s="13"/>
      <c r="F15" s="13">
        <v>2750</v>
      </c>
      <c r="G15" s="3">
        <f t="shared" si="0"/>
        <v>27150</v>
      </c>
      <c r="H15" s="2" t="str">
        <f t="shared" si="1"/>
        <v>CR</v>
      </c>
    </row>
    <row r="16" spans="1:10" ht="21" customHeight="1" x14ac:dyDescent="0.25">
      <c r="A16" s="9">
        <v>46247</v>
      </c>
      <c r="B16" s="2" t="s">
        <v>10</v>
      </c>
      <c r="C16" s="2" t="s">
        <v>1234</v>
      </c>
      <c r="D16" s="2" t="s">
        <v>1235</v>
      </c>
      <c r="E16" s="13"/>
      <c r="F16" s="13">
        <v>5550</v>
      </c>
      <c r="G16" s="3">
        <f t="shared" si="0"/>
        <v>32700</v>
      </c>
      <c r="H16" s="2" t="str">
        <f t="shared" si="1"/>
        <v>CR</v>
      </c>
    </row>
    <row r="17" spans="1:8" ht="21" customHeight="1" x14ac:dyDescent="0.25">
      <c r="A17" s="9">
        <v>46247</v>
      </c>
      <c r="B17" s="2" t="s">
        <v>10</v>
      </c>
      <c r="C17" s="2" t="s">
        <v>1236</v>
      </c>
      <c r="D17" s="2" t="s">
        <v>1237</v>
      </c>
      <c r="E17" s="13"/>
      <c r="F17" s="13">
        <v>2600</v>
      </c>
      <c r="G17" s="3">
        <f t="shared" si="0"/>
        <v>35300</v>
      </c>
      <c r="H17" s="2" t="str">
        <f t="shared" si="1"/>
        <v>CR</v>
      </c>
    </row>
    <row r="18" spans="1:8" ht="21" customHeight="1" x14ac:dyDescent="0.25">
      <c r="A18" s="9">
        <v>46250</v>
      </c>
      <c r="B18" s="2" t="s">
        <v>10</v>
      </c>
      <c r="C18" s="2" t="s">
        <v>1238</v>
      </c>
      <c r="D18" s="2" t="s">
        <v>1239</v>
      </c>
      <c r="E18" s="13"/>
      <c r="F18" s="13">
        <v>6200</v>
      </c>
      <c r="G18" s="3">
        <f>G17+F18-E18</f>
        <v>41500</v>
      </c>
      <c r="H18" s="2" t="str">
        <f t="shared" si="1"/>
        <v>CR</v>
      </c>
    </row>
    <row r="19" spans="1:8" ht="21" customHeight="1" x14ac:dyDescent="0.25">
      <c r="A19" s="9">
        <v>46251</v>
      </c>
      <c r="B19" s="2" t="s">
        <v>10</v>
      </c>
      <c r="C19" s="2" t="s">
        <v>1240</v>
      </c>
      <c r="D19" s="2" t="s">
        <v>1241</v>
      </c>
      <c r="E19" s="13"/>
      <c r="F19" s="13">
        <v>4100</v>
      </c>
      <c r="G19" s="3">
        <f t="shared" si="0"/>
        <v>45600</v>
      </c>
      <c r="H19" s="2" t="str">
        <f t="shared" si="1"/>
        <v>CR</v>
      </c>
    </row>
    <row r="20" spans="1:8" ht="21" customHeight="1" x14ac:dyDescent="0.25">
      <c r="A20" s="9">
        <v>46256</v>
      </c>
      <c r="B20" s="2" t="s">
        <v>10</v>
      </c>
      <c r="C20" s="2" t="s">
        <v>1247</v>
      </c>
      <c r="D20" s="2" t="s">
        <v>1248</v>
      </c>
      <c r="E20" s="13"/>
      <c r="F20" s="13">
        <v>17300</v>
      </c>
      <c r="G20" s="3">
        <f t="shared" si="0"/>
        <v>62900</v>
      </c>
      <c r="H20" s="2" t="str">
        <f t="shared" si="1"/>
        <v>CR</v>
      </c>
    </row>
    <row r="21" spans="1:8" ht="21" customHeight="1" x14ac:dyDescent="0.25">
      <c r="A21" s="9">
        <v>46258</v>
      </c>
      <c r="B21" s="2" t="s">
        <v>10</v>
      </c>
      <c r="C21" s="2" t="s">
        <v>1249</v>
      </c>
      <c r="D21" s="2" t="s">
        <v>1250</v>
      </c>
      <c r="E21" s="13"/>
      <c r="F21" s="13">
        <v>1450</v>
      </c>
      <c r="G21" s="3">
        <f t="shared" si="0"/>
        <v>64350</v>
      </c>
      <c r="H21" s="2" t="str">
        <f t="shared" si="1"/>
        <v>CR</v>
      </c>
    </row>
    <row r="22" spans="1:8" ht="21" customHeight="1" x14ac:dyDescent="0.25">
      <c r="A22" s="9"/>
      <c r="B22" s="2"/>
      <c r="C22" s="2"/>
      <c r="D22" s="2"/>
      <c r="E22" s="13"/>
      <c r="F22" s="13"/>
      <c r="G22" s="3">
        <f t="shared" si="0"/>
        <v>64350</v>
      </c>
      <c r="H22" s="2" t="str">
        <f t="shared" si="1"/>
        <v>CR</v>
      </c>
    </row>
    <row r="23" spans="1:8" ht="21" customHeight="1" x14ac:dyDescent="0.25">
      <c r="A23" s="9"/>
      <c r="B23" s="2"/>
      <c r="C23" s="2"/>
      <c r="D23" s="9"/>
      <c r="E23" s="13"/>
      <c r="F23" s="13"/>
      <c r="G23" s="3">
        <f t="shared" si="0"/>
        <v>64350</v>
      </c>
      <c r="H23" s="2" t="str">
        <f t="shared" si="1"/>
        <v>CR</v>
      </c>
    </row>
    <row r="24" spans="1:8" ht="21" customHeight="1" x14ac:dyDescent="0.25">
      <c r="A24" s="9"/>
      <c r="B24" s="2"/>
      <c r="C24" s="2"/>
      <c r="D24" s="2"/>
      <c r="E24" s="13"/>
      <c r="F24" s="13"/>
      <c r="G24" s="13">
        <f t="shared" si="0"/>
        <v>64350</v>
      </c>
      <c r="H24" s="2" t="str">
        <f t="shared" si="1"/>
        <v>CR</v>
      </c>
    </row>
    <row r="25" spans="1:8" ht="21" customHeight="1" x14ac:dyDescent="0.25">
      <c r="A25" s="9"/>
      <c r="B25" s="2"/>
      <c r="C25" s="2"/>
      <c r="D25" s="2"/>
      <c r="E25" s="13"/>
      <c r="F25" s="13"/>
      <c r="G25" s="13">
        <f t="shared" si="0"/>
        <v>64350</v>
      </c>
      <c r="H25" s="2" t="str">
        <f t="shared" si="1"/>
        <v>CR</v>
      </c>
    </row>
    <row r="26" spans="1:8" ht="21" customHeight="1" x14ac:dyDescent="0.25">
      <c r="A26" s="9"/>
      <c r="B26" s="2"/>
      <c r="C26" s="2"/>
      <c r="D26" s="2"/>
      <c r="E26" s="13"/>
      <c r="F26" s="13"/>
      <c r="G26" s="13">
        <f t="shared" si="0"/>
        <v>64350</v>
      </c>
      <c r="H26" s="83" t="str">
        <f t="shared" si="1"/>
        <v>CR</v>
      </c>
    </row>
    <row r="27" spans="1:8" ht="21" customHeight="1" x14ac:dyDescent="0.25">
      <c r="A27" s="9"/>
      <c r="B27" s="2"/>
      <c r="C27" s="2"/>
      <c r="D27" s="2"/>
      <c r="E27" s="13"/>
      <c r="F27" s="13"/>
      <c r="G27" s="3">
        <f t="shared" si="0"/>
        <v>64350</v>
      </c>
      <c r="H27" s="2" t="str">
        <f t="shared" si="1"/>
        <v>CR</v>
      </c>
    </row>
    <row r="28" spans="1:8" ht="21" customHeight="1" x14ac:dyDescent="0.25">
      <c r="A28" s="9"/>
      <c r="B28" s="2"/>
      <c r="C28" s="2"/>
      <c r="D28" s="2"/>
      <c r="E28" s="13"/>
      <c r="F28" s="13"/>
      <c r="G28" s="3">
        <f t="shared" si="0"/>
        <v>64350</v>
      </c>
      <c r="H28" s="2" t="str">
        <f t="shared" si="1"/>
        <v>CR</v>
      </c>
    </row>
    <row r="29" spans="1:8" ht="21" customHeight="1" x14ac:dyDescent="0.25">
      <c r="A29" s="9"/>
      <c r="B29" s="2"/>
      <c r="C29" s="2"/>
      <c r="D29" s="2"/>
      <c r="E29" s="13"/>
      <c r="F29" s="13"/>
      <c r="G29" s="3">
        <f>G28+F29-E29</f>
        <v>64350</v>
      </c>
      <c r="H29" s="2" t="str">
        <f t="shared" si="1"/>
        <v>CR</v>
      </c>
    </row>
    <row r="30" spans="1:8" ht="21" customHeight="1" x14ac:dyDescent="0.25">
      <c r="A30" s="9"/>
      <c r="B30" s="2"/>
      <c r="C30" s="12"/>
      <c r="D30" s="2"/>
      <c r="E30" s="13"/>
      <c r="F30" s="13"/>
      <c r="G30" s="3">
        <f>G29+F30-E30</f>
        <v>64350</v>
      </c>
      <c r="H30" s="2" t="str">
        <f t="shared" si="1"/>
        <v>CR</v>
      </c>
    </row>
    <row r="31" spans="1:8" ht="21" customHeight="1" x14ac:dyDescent="0.25">
      <c r="A31" s="9"/>
      <c r="B31" s="2"/>
      <c r="C31" s="2"/>
      <c r="D31" s="2"/>
      <c r="E31" s="13"/>
      <c r="F31" s="13"/>
      <c r="G31" s="13">
        <f t="shared" si="0"/>
        <v>64350</v>
      </c>
      <c r="H31" s="83" t="str">
        <f t="shared" si="1"/>
        <v>CR</v>
      </c>
    </row>
    <row r="32" spans="1:8" ht="21" customHeight="1" x14ac:dyDescent="0.25">
      <c r="A32" s="9"/>
      <c r="B32" s="2"/>
      <c r="C32" s="2"/>
      <c r="D32" s="2"/>
      <c r="E32" s="13"/>
      <c r="F32" s="13"/>
      <c r="G32" s="3">
        <f t="shared" si="0"/>
        <v>64350</v>
      </c>
      <c r="H32" s="2" t="str">
        <f t="shared" si="1"/>
        <v>CR</v>
      </c>
    </row>
    <row r="33" spans="1:8" ht="21" customHeight="1" x14ac:dyDescent="0.25">
      <c r="A33" s="9"/>
      <c r="B33" s="2"/>
      <c r="C33" s="2"/>
      <c r="D33" s="2"/>
      <c r="E33" s="13"/>
      <c r="F33" s="13"/>
      <c r="G33" s="3">
        <f t="shared" si="0"/>
        <v>64350</v>
      </c>
      <c r="H33" s="2" t="str">
        <f t="shared" si="1"/>
        <v>CR</v>
      </c>
    </row>
    <row r="34" spans="1:8" ht="21" customHeight="1" x14ac:dyDescent="0.25">
      <c r="A34" s="9"/>
      <c r="B34" s="2"/>
      <c r="C34" s="2"/>
      <c r="D34" s="2"/>
      <c r="E34" s="13"/>
      <c r="F34" s="13"/>
      <c r="G34" s="3">
        <f t="shared" si="0"/>
        <v>64350</v>
      </c>
      <c r="H34" s="2" t="str">
        <f t="shared" si="1"/>
        <v>CR</v>
      </c>
    </row>
    <row r="35" spans="1:8" ht="21" customHeight="1" x14ac:dyDescent="0.25">
      <c r="A35" s="9"/>
      <c r="B35" s="2"/>
      <c r="C35" s="2"/>
      <c r="D35" s="2"/>
      <c r="E35" s="13"/>
      <c r="F35" s="13"/>
      <c r="G35" s="3">
        <f>G34+F35-E35</f>
        <v>64350</v>
      </c>
      <c r="H35" s="2" t="str">
        <f t="shared" si="1"/>
        <v>CR</v>
      </c>
    </row>
    <row r="36" spans="1:8" ht="21" customHeight="1" x14ac:dyDescent="0.25">
      <c r="A36" s="10"/>
      <c r="B36" s="4"/>
      <c r="C36" s="4"/>
      <c r="D36" s="4" t="s">
        <v>9</v>
      </c>
      <c r="E36" s="5">
        <f>SUM(E6:E35)</f>
        <v>35000</v>
      </c>
      <c r="F36" s="5">
        <f>SUM(F6:F35)</f>
        <v>75650</v>
      </c>
      <c r="G36" s="5">
        <f>G5+F36-E36</f>
        <v>64350</v>
      </c>
      <c r="H36" s="4" t="str">
        <f t="shared" si="1"/>
        <v>CR</v>
      </c>
    </row>
  </sheetData>
  <mergeCells count="4">
    <mergeCell ref="A1:H1"/>
    <mergeCell ref="A2:H2"/>
    <mergeCell ref="A3:H3"/>
    <mergeCell ref="G4:H4"/>
  </mergeCells>
  <hyperlinks>
    <hyperlink ref="J1" location="'PAYABLES-2024'!A1" display="PAYABLE HOME" xr:uid="{F9BDD011-C345-401D-A0E7-52155B881F9D}"/>
  </hyperlinks>
  <printOptions horizontalCentered="1"/>
  <pageMargins left="0.7" right="0.7" top="0.75" bottom="0.75" header="0.3" footer="0.3"/>
  <pageSetup paperSize="9" scale="84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76E3-8F60-470B-ABDF-2885D2FCACE7}">
  <dimension ref="A1:J132"/>
  <sheetViews>
    <sheetView zoomScaleNormal="100" workbookViewId="0">
      <pane xSplit="1" ySplit="4" topLeftCell="B120" activePane="bottomRight" state="frozen"/>
      <selection pane="topRight" activeCell="B1" sqref="B1"/>
      <selection pane="bottomLeft" activeCell="A5" sqref="A5"/>
      <selection pane="bottomRight" activeCell="J2" sqref="J2"/>
    </sheetView>
  </sheetViews>
  <sheetFormatPr defaultRowHeight="15.75" x14ac:dyDescent="0.25"/>
  <cols>
    <col min="1" max="1" width="14.7109375" style="59" customWidth="1"/>
    <col min="2" max="2" width="14.140625" style="59" customWidth="1"/>
    <col min="3" max="3" width="15.28515625" style="59" customWidth="1"/>
    <col min="4" max="4" width="57" style="59" bestFit="1" customWidth="1"/>
    <col min="5" max="5" width="18.28515625" style="59" customWidth="1"/>
    <col min="6" max="6" width="16.85546875" style="59" customWidth="1"/>
    <col min="7" max="7" width="17.140625" style="59" customWidth="1"/>
    <col min="8" max="16384" width="9.140625" style="59"/>
  </cols>
  <sheetData>
    <row r="1" spans="1:10" x14ac:dyDescent="0.25">
      <c r="A1" s="103" t="s">
        <v>864</v>
      </c>
      <c r="B1" s="103"/>
      <c r="C1" s="103"/>
      <c r="D1" s="103"/>
      <c r="E1" s="103"/>
      <c r="F1" s="103"/>
      <c r="G1" s="103"/>
      <c r="H1" s="103"/>
    </row>
    <row r="2" spans="1:10" ht="18.75" x14ac:dyDescent="0.3">
      <c r="A2" s="104" t="s">
        <v>768</v>
      </c>
      <c r="B2" s="104"/>
      <c r="C2" s="104"/>
      <c r="D2" s="104"/>
      <c r="E2" s="104"/>
      <c r="F2" s="104"/>
      <c r="G2" s="104"/>
      <c r="H2" s="104"/>
      <c r="J2" s="78" t="s">
        <v>670</v>
      </c>
    </row>
    <row r="3" spans="1:10" x14ac:dyDescent="0.25">
      <c r="A3" s="103" t="s">
        <v>887</v>
      </c>
      <c r="B3" s="103"/>
      <c r="C3" s="103"/>
      <c r="D3" s="103"/>
      <c r="E3" s="103"/>
      <c r="F3" s="103"/>
      <c r="G3" s="103"/>
      <c r="H3" s="103"/>
    </row>
    <row r="4" spans="1:10" x14ac:dyDescent="0.25">
      <c r="A4" s="54" t="s">
        <v>1</v>
      </c>
      <c r="B4" s="55" t="s">
        <v>2</v>
      </c>
      <c r="C4" s="55" t="s">
        <v>3</v>
      </c>
      <c r="D4" s="55" t="s">
        <v>4</v>
      </c>
      <c r="E4" s="56" t="s">
        <v>5</v>
      </c>
      <c r="F4" s="56" t="s">
        <v>6</v>
      </c>
      <c r="G4" s="105" t="s">
        <v>7</v>
      </c>
      <c r="H4" s="105"/>
    </row>
    <row r="5" spans="1:10" x14ac:dyDescent="0.25">
      <c r="A5" s="58"/>
      <c r="B5" s="58"/>
      <c r="C5" s="58"/>
      <c r="D5" s="59" t="s">
        <v>749</v>
      </c>
      <c r="E5" s="57"/>
      <c r="F5" s="57"/>
      <c r="G5" s="57">
        <v>109280</v>
      </c>
      <c r="H5" s="58"/>
    </row>
    <row r="6" spans="1:10" x14ac:dyDescent="0.25">
      <c r="A6" s="60"/>
      <c r="B6" s="61" t="s">
        <v>757</v>
      </c>
      <c r="C6" s="58"/>
      <c r="D6" s="71" t="s">
        <v>750</v>
      </c>
      <c r="E6" s="82">
        <v>7000</v>
      </c>
      <c r="F6" s="81">
        <v>0</v>
      </c>
      <c r="G6" s="57">
        <f>G5+F6-E6</f>
        <v>102280</v>
      </c>
      <c r="H6" s="58" t="str">
        <f>IF(G6=0,"NIL",IF(G6&gt;0,"CR","DR"))</f>
        <v>CR</v>
      </c>
    </row>
    <row r="7" spans="1:10" x14ac:dyDescent="0.25">
      <c r="A7" s="60"/>
      <c r="B7" s="61" t="s">
        <v>757</v>
      </c>
      <c r="C7" s="58"/>
      <c r="D7" s="72" t="s">
        <v>751</v>
      </c>
      <c r="E7" s="82">
        <v>2500</v>
      </c>
      <c r="F7" s="81">
        <v>0</v>
      </c>
      <c r="G7" s="57">
        <f t="shared" ref="G7:G70" si="0">G6+F7-E7</f>
        <v>99780</v>
      </c>
      <c r="H7" s="58" t="str">
        <f t="shared" ref="H7:H132" si="1">IF(G7=0,"NIL",IF(G7&gt;0,"CR","DR"))</f>
        <v>CR</v>
      </c>
    </row>
    <row r="8" spans="1:10" x14ac:dyDescent="0.25">
      <c r="A8" s="60"/>
      <c r="B8" s="61" t="s">
        <v>757</v>
      </c>
      <c r="C8" s="58"/>
      <c r="D8" s="71" t="s">
        <v>752</v>
      </c>
      <c r="E8" s="82">
        <v>1500</v>
      </c>
      <c r="F8" s="81">
        <v>0</v>
      </c>
      <c r="G8" s="57">
        <f t="shared" si="0"/>
        <v>98280</v>
      </c>
      <c r="H8" s="58" t="str">
        <f t="shared" si="1"/>
        <v>CR</v>
      </c>
    </row>
    <row r="9" spans="1:10" x14ac:dyDescent="0.25">
      <c r="A9" s="60"/>
      <c r="B9" s="61" t="s">
        <v>757</v>
      </c>
      <c r="C9" s="58"/>
      <c r="D9" s="71" t="s">
        <v>753</v>
      </c>
      <c r="E9" s="82">
        <v>1700</v>
      </c>
      <c r="F9" s="81">
        <v>0</v>
      </c>
      <c r="G9" s="57">
        <f t="shared" si="0"/>
        <v>96580</v>
      </c>
      <c r="H9" s="58" t="str">
        <f t="shared" si="1"/>
        <v>CR</v>
      </c>
    </row>
    <row r="10" spans="1:10" x14ac:dyDescent="0.25">
      <c r="A10" s="60"/>
      <c r="B10" s="61" t="s">
        <v>757</v>
      </c>
      <c r="C10" s="58"/>
      <c r="D10" s="71" t="s">
        <v>754</v>
      </c>
      <c r="E10" s="82">
        <v>2550</v>
      </c>
      <c r="F10" s="81">
        <v>0</v>
      </c>
      <c r="G10" s="57">
        <f t="shared" si="0"/>
        <v>94030</v>
      </c>
      <c r="H10" s="58" t="str">
        <f t="shared" si="1"/>
        <v>CR</v>
      </c>
    </row>
    <row r="11" spans="1:10" x14ac:dyDescent="0.25">
      <c r="A11" s="60">
        <v>45554</v>
      </c>
      <c r="B11" s="58" t="s">
        <v>10</v>
      </c>
      <c r="C11" s="58"/>
      <c r="D11" s="72" t="s">
        <v>755</v>
      </c>
      <c r="E11" s="82">
        <v>0</v>
      </c>
      <c r="F11" s="81">
        <v>2800</v>
      </c>
      <c r="G11" s="57">
        <f t="shared" si="0"/>
        <v>96830</v>
      </c>
      <c r="H11" s="58" t="str">
        <f t="shared" si="1"/>
        <v>CR</v>
      </c>
    </row>
    <row r="12" spans="1:10" x14ac:dyDescent="0.25">
      <c r="A12" s="60">
        <v>45554</v>
      </c>
      <c r="B12" s="58" t="s">
        <v>10</v>
      </c>
      <c r="C12" s="58"/>
      <c r="D12" s="71" t="s">
        <v>756</v>
      </c>
      <c r="E12" s="82">
        <v>0</v>
      </c>
      <c r="F12" s="81">
        <v>1150</v>
      </c>
      <c r="G12" s="57">
        <f t="shared" si="0"/>
        <v>97980</v>
      </c>
      <c r="H12" s="58" t="str">
        <f t="shared" si="1"/>
        <v>CR</v>
      </c>
    </row>
    <row r="13" spans="1:10" x14ac:dyDescent="0.25">
      <c r="A13" s="60">
        <v>45557</v>
      </c>
      <c r="B13" s="58" t="s">
        <v>10</v>
      </c>
      <c r="C13" s="58"/>
      <c r="D13" s="72" t="s">
        <v>755</v>
      </c>
      <c r="E13" s="82">
        <v>0</v>
      </c>
      <c r="F13" s="81">
        <v>2800</v>
      </c>
      <c r="G13" s="57">
        <f>G12+F13-E13</f>
        <v>100780</v>
      </c>
      <c r="H13" s="58" t="str">
        <f t="shared" si="1"/>
        <v>CR</v>
      </c>
    </row>
    <row r="14" spans="1:10" x14ac:dyDescent="0.25">
      <c r="A14" s="60">
        <v>45557</v>
      </c>
      <c r="B14" s="61" t="s">
        <v>757</v>
      </c>
      <c r="C14" s="58"/>
      <c r="D14" s="71" t="s">
        <v>758</v>
      </c>
      <c r="E14" s="82">
        <v>4800</v>
      </c>
      <c r="F14" s="81">
        <v>0</v>
      </c>
      <c r="G14" s="57">
        <f>G13+F14-E14</f>
        <v>95980</v>
      </c>
      <c r="H14" s="58" t="str">
        <f t="shared" si="1"/>
        <v>CR</v>
      </c>
    </row>
    <row r="15" spans="1:10" x14ac:dyDescent="0.25">
      <c r="A15" s="60">
        <v>45559</v>
      </c>
      <c r="B15" s="58" t="s">
        <v>10</v>
      </c>
      <c r="C15" s="58"/>
      <c r="D15" s="73" t="s">
        <v>759</v>
      </c>
      <c r="E15" s="82"/>
      <c r="F15" s="81">
        <v>6500</v>
      </c>
      <c r="G15" s="57">
        <f t="shared" si="0"/>
        <v>102480</v>
      </c>
      <c r="H15" s="58" t="str">
        <f t="shared" si="1"/>
        <v>CR</v>
      </c>
    </row>
    <row r="16" spans="1:10" x14ac:dyDescent="0.25">
      <c r="A16" s="60" t="s">
        <v>760</v>
      </c>
      <c r="B16" s="58" t="s">
        <v>10</v>
      </c>
      <c r="C16" s="58"/>
      <c r="D16" s="72" t="s">
        <v>761</v>
      </c>
      <c r="E16" s="82"/>
      <c r="F16" s="81">
        <v>3000</v>
      </c>
      <c r="G16" s="57">
        <f t="shared" si="0"/>
        <v>105480</v>
      </c>
      <c r="H16" s="58" t="str">
        <f t="shared" si="1"/>
        <v>CR</v>
      </c>
    </row>
    <row r="17" spans="1:8" x14ac:dyDescent="0.25">
      <c r="A17" s="60">
        <v>45569</v>
      </c>
      <c r="B17" s="58" t="s">
        <v>10</v>
      </c>
      <c r="C17" s="58"/>
      <c r="D17" s="72" t="s">
        <v>762</v>
      </c>
      <c r="E17" s="82"/>
      <c r="F17" s="81">
        <f>2700*2</f>
        <v>5400</v>
      </c>
      <c r="G17" s="57">
        <f t="shared" si="0"/>
        <v>110880</v>
      </c>
      <c r="H17" s="58" t="str">
        <f t="shared" si="1"/>
        <v>CR</v>
      </c>
    </row>
    <row r="18" spans="1:8" x14ac:dyDescent="0.25">
      <c r="A18" s="60">
        <v>45570</v>
      </c>
      <c r="B18" s="61" t="s">
        <v>634</v>
      </c>
      <c r="C18" s="58"/>
      <c r="D18" s="72" t="s">
        <v>763</v>
      </c>
      <c r="E18" s="82">
        <v>5000</v>
      </c>
      <c r="F18" s="81"/>
      <c r="G18" s="57">
        <f t="shared" si="0"/>
        <v>105880</v>
      </c>
      <c r="H18" s="58" t="str">
        <f t="shared" si="1"/>
        <v>CR</v>
      </c>
    </row>
    <row r="19" spans="1:8" x14ac:dyDescent="0.25">
      <c r="A19" s="60">
        <v>45573</v>
      </c>
      <c r="B19" s="61" t="s">
        <v>10</v>
      </c>
      <c r="C19" s="58"/>
      <c r="D19" s="72" t="s">
        <v>767</v>
      </c>
      <c r="E19" s="82">
        <v>0</v>
      </c>
      <c r="F19" s="81">
        <f>11500</f>
        <v>11500</v>
      </c>
      <c r="G19" s="57">
        <f t="shared" si="0"/>
        <v>117380</v>
      </c>
      <c r="H19" s="58" t="str">
        <f t="shared" si="1"/>
        <v>CR</v>
      </c>
    </row>
    <row r="20" spans="1:8" x14ac:dyDescent="0.25">
      <c r="A20" s="60">
        <v>45576</v>
      </c>
      <c r="B20" s="61" t="s">
        <v>634</v>
      </c>
      <c r="C20" s="61" t="s">
        <v>634</v>
      </c>
      <c r="D20" s="72" t="s">
        <v>763</v>
      </c>
      <c r="E20" s="82">
        <v>20000</v>
      </c>
      <c r="F20" s="81"/>
      <c r="G20" s="57">
        <f t="shared" si="0"/>
        <v>97380</v>
      </c>
      <c r="H20" s="58" t="str">
        <f t="shared" si="1"/>
        <v>CR</v>
      </c>
    </row>
    <row r="21" spans="1:8" x14ac:dyDescent="0.25">
      <c r="A21" s="60">
        <v>45576</v>
      </c>
      <c r="B21" s="61" t="s">
        <v>10</v>
      </c>
      <c r="C21" s="61" t="s">
        <v>10</v>
      </c>
      <c r="D21" s="72" t="s">
        <v>772</v>
      </c>
      <c r="E21" s="82"/>
      <c r="F21" s="81">
        <v>15250</v>
      </c>
      <c r="G21" s="57">
        <f t="shared" si="0"/>
        <v>112630</v>
      </c>
      <c r="H21" s="58" t="str">
        <f t="shared" si="1"/>
        <v>CR</v>
      </c>
    </row>
    <row r="22" spans="1:8" x14ac:dyDescent="0.25">
      <c r="A22" s="60">
        <v>45577</v>
      </c>
      <c r="B22" s="61" t="s">
        <v>757</v>
      </c>
      <c r="C22" s="58"/>
      <c r="D22" s="72" t="s">
        <v>773</v>
      </c>
      <c r="E22" s="82">
        <v>12000</v>
      </c>
      <c r="F22" s="81"/>
      <c r="G22" s="57">
        <f t="shared" si="0"/>
        <v>100630</v>
      </c>
      <c r="H22" s="58" t="str">
        <f t="shared" si="1"/>
        <v>CR</v>
      </c>
    </row>
    <row r="23" spans="1:8" x14ac:dyDescent="0.25">
      <c r="A23" s="60">
        <v>45581</v>
      </c>
      <c r="B23" s="61" t="s">
        <v>10</v>
      </c>
      <c r="C23" s="58" t="s">
        <v>10</v>
      </c>
      <c r="D23" s="72" t="s">
        <v>775</v>
      </c>
      <c r="E23" s="82"/>
      <c r="F23" s="81">
        <v>15800</v>
      </c>
      <c r="G23" s="57">
        <f t="shared" si="0"/>
        <v>116430</v>
      </c>
      <c r="H23" s="58" t="str">
        <f t="shared" si="1"/>
        <v>CR</v>
      </c>
    </row>
    <row r="24" spans="1:8" x14ac:dyDescent="0.25">
      <c r="A24" s="60">
        <v>45583</v>
      </c>
      <c r="B24" s="61" t="s">
        <v>10</v>
      </c>
      <c r="C24" s="58" t="s">
        <v>10</v>
      </c>
      <c r="D24" s="72" t="s">
        <v>778</v>
      </c>
      <c r="E24" s="82"/>
      <c r="F24" s="81">
        <v>192650</v>
      </c>
      <c r="G24" s="57">
        <f t="shared" si="0"/>
        <v>309080</v>
      </c>
      <c r="H24" s="58" t="str">
        <f t="shared" si="1"/>
        <v>CR</v>
      </c>
    </row>
    <row r="25" spans="1:8" x14ac:dyDescent="0.25">
      <c r="A25" s="60">
        <v>45586</v>
      </c>
      <c r="B25" s="61" t="s">
        <v>757</v>
      </c>
      <c r="C25" s="58" t="s">
        <v>782</v>
      </c>
      <c r="D25" s="72" t="s">
        <v>783</v>
      </c>
      <c r="E25" s="82">
        <v>1400</v>
      </c>
      <c r="F25" s="81"/>
      <c r="G25" s="57">
        <f t="shared" si="0"/>
        <v>307680</v>
      </c>
      <c r="H25" s="58" t="str">
        <f t="shared" si="1"/>
        <v>CR</v>
      </c>
    </row>
    <row r="26" spans="1:8" x14ac:dyDescent="0.25">
      <c r="A26" s="60">
        <v>45586</v>
      </c>
      <c r="B26" s="62" t="s">
        <v>757</v>
      </c>
      <c r="C26" s="62" t="s">
        <v>782</v>
      </c>
      <c r="D26" s="58" t="s">
        <v>784</v>
      </c>
      <c r="E26" s="82">
        <v>350</v>
      </c>
      <c r="F26" s="81"/>
      <c r="G26" s="57">
        <f t="shared" si="0"/>
        <v>307330</v>
      </c>
      <c r="H26" s="58" t="str">
        <f t="shared" si="1"/>
        <v>CR</v>
      </c>
    </row>
    <row r="27" spans="1:8" x14ac:dyDescent="0.25">
      <c r="A27" s="60">
        <v>45591</v>
      </c>
      <c r="B27" s="62" t="s">
        <v>10</v>
      </c>
      <c r="C27" s="62" t="s">
        <v>10</v>
      </c>
      <c r="D27" s="58" t="s">
        <v>826</v>
      </c>
      <c r="E27" s="82"/>
      <c r="F27" s="81">
        <v>47000</v>
      </c>
      <c r="G27" s="57">
        <f t="shared" si="0"/>
        <v>354330</v>
      </c>
      <c r="H27" s="58" t="str">
        <f t="shared" si="1"/>
        <v>CR</v>
      </c>
    </row>
    <row r="28" spans="1:8" x14ac:dyDescent="0.25">
      <c r="A28" s="60">
        <v>45593</v>
      </c>
      <c r="B28" s="62" t="s">
        <v>757</v>
      </c>
      <c r="C28" s="62" t="s">
        <v>782</v>
      </c>
      <c r="D28" s="58" t="s">
        <v>829</v>
      </c>
      <c r="E28" s="82">
        <v>700</v>
      </c>
      <c r="F28" s="81"/>
      <c r="G28" s="57">
        <f t="shared" si="0"/>
        <v>353630</v>
      </c>
      <c r="H28" s="58" t="str">
        <f t="shared" si="1"/>
        <v>CR</v>
      </c>
    </row>
    <row r="29" spans="1:8" x14ac:dyDescent="0.25">
      <c r="A29" s="60">
        <v>45594</v>
      </c>
      <c r="B29" s="62" t="s">
        <v>634</v>
      </c>
      <c r="C29" s="62" t="s">
        <v>634</v>
      </c>
      <c r="D29" s="58" t="s">
        <v>831</v>
      </c>
      <c r="E29" s="82">
        <v>44000</v>
      </c>
      <c r="F29" s="81"/>
      <c r="G29" s="57">
        <f t="shared" si="0"/>
        <v>309630</v>
      </c>
      <c r="H29" s="58" t="str">
        <f t="shared" si="1"/>
        <v>CR</v>
      </c>
    </row>
    <row r="30" spans="1:8" x14ac:dyDescent="0.25">
      <c r="A30" s="60">
        <v>45597</v>
      </c>
      <c r="B30" s="62" t="s">
        <v>10</v>
      </c>
      <c r="C30" s="62" t="s">
        <v>10</v>
      </c>
      <c r="D30" s="72" t="s">
        <v>830</v>
      </c>
      <c r="E30" s="82"/>
      <c r="F30" s="81">
        <v>21050</v>
      </c>
      <c r="G30" s="57">
        <f t="shared" si="0"/>
        <v>330680</v>
      </c>
      <c r="H30" s="58" t="str">
        <f t="shared" si="1"/>
        <v>CR</v>
      </c>
    </row>
    <row r="31" spans="1:8" x14ac:dyDescent="0.25">
      <c r="A31" s="60">
        <v>45597</v>
      </c>
      <c r="B31" s="62" t="s">
        <v>634</v>
      </c>
      <c r="C31" s="62" t="s">
        <v>634</v>
      </c>
      <c r="D31" s="58" t="s">
        <v>831</v>
      </c>
      <c r="E31" s="82">
        <v>44000</v>
      </c>
      <c r="F31" s="81"/>
      <c r="G31" s="57">
        <f t="shared" si="0"/>
        <v>286680</v>
      </c>
      <c r="H31" s="58" t="str">
        <f t="shared" si="1"/>
        <v>CR</v>
      </c>
    </row>
    <row r="32" spans="1:8" x14ac:dyDescent="0.25">
      <c r="A32" s="60">
        <v>45600</v>
      </c>
      <c r="B32" s="62" t="s">
        <v>634</v>
      </c>
      <c r="C32" s="62" t="s">
        <v>634</v>
      </c>
      <c r="D32" s="58" t="s">
        <v>835</v>
      </c>
      <c r="E32" s="82">
        <v>21000</v>
      </c>
      <c r="F32" s="81"/>
      <c r="G32" s="57">
        <f t="shared" si="0"/>
        <v>265680</v>
      </c>
      <c r="H32" s="58" t="str">
        <f t="shared" si="1"/>
        <v>CR</v>
      </c>
    </row>
    <row r="33" spans="1:8" x14ac:dyDescent="0.25">
      <c r="A33" s="60">
        <v>45600</v>
      </c>
      <c r="B33" s="62" t="s">
        <v>634</v>
      </c>
      <c r="C33" s="62" t="s">
        <v>634</v>
      </c>
      <c r="D33" s="58" t="s">
        <v>832</v>
      </c>
      <c r="E33" s="82">
        <v>10000</v>
      </c>
      <c r="F33" s="81"/>
      <c r="G33" s="57">
        <f t="shared" si="0"/>
        <v>255680</v>
      </c>
      <c r="H33" s="58" t="str">
        <f t="shared" si="1"/>
        <v>CR</v>
      </c>
    </row>
    <row r="34" spans="1:8" x14ac:dyDescent="0.25">
      <c r="A34" s="60">
        <v>45602</v>
      </c>
      <c r="B34" s="62" t="s">
        <v>10</v>
      </c>
      <c r="C34" s="62" t="s">
        <v>10</v>
      </c>
      <c r="D34" s="58" t="s">
        <v>833</v>
      </c>
      <c r="E34" s="82"/>
      <c r="F34" s="81">
        <v>18000</v>
      </c>
      <c r="G34" s="57">
        <f t="shared" si="0"/>
        <v>273680</v>
      </c>
      <c r="H34" s="58" t="str">
        <f t="shared" si="1"/>
        <v>CR</v>
      </c>
    </row>
    <row r="35" spans="1:8" x14ac:dyDescent="0.25">
      <c r="A35" s="60">
        <v>45603</v>
      </c>
      <c r="B35" s="62" t="s">
        <v>634</v>
      </c>
      <c r="C35" s="62" t="s">
        <v>634</v>
      </c>
      <c r="D35" s="58" t="s">
        <v>834</v>
      </c>
      <c r="E35" s="82">
        <v>15000</v>
      </c>
      <c r="F35" s="81"/>
      <c r="G35" s="57">
        <f t="shared" si="0"/>
        <v>258680</v>
      </c>
      <c r="H35" s="58" t="str">
        <f t="shared" si="1"/>
        <v>CR</v>
      </c>
    </row>
    <row r="36" spans="1:8" x14ac:dyDescent="0.25">
      <c r="A36" s="60">
        <v>45603</v>
      </c>
      <c r="B36" s="62" t="s">
        <v>10</v>
      </c>
      <c r="C36" s="62" t="s">
        <v>10</v>
      </c>
      <c r="D36" s="58" t="s">
        <v>836</v>
      </c>
      <c r="E36" s="82"/>
      <c r="F36" s="81">
        <v>16450</v>
      </c>
      <c r="G36" s="57">
        <f t="shared" si="0"/>
        <v>275130</v>
      </c>
      <c r="H36" s="58" t="str">
        <f t="shared" si="1"/>
        <v>CR</v>
      </c>
    </row>
    <row r="37" spans="1:8" x14ac:dyDescent="0.25">
      <c r="A37" s="60">
        <v>45607</v>
      </c>
      <c r="B37" s="62" t="s">
        <v>10</v>
      </c>
      <c r="C37" s="62" t="s">
        <v>10</v>
      </c>
      <c r="D37" s="58" t="s">
        <v>838</v>
      </c>
      <c r="E37" s="82"/>
      <c r="F37" s="81">
        <v>12100</v>
      </c>
      <c r="G37" s="57">
        <f t="shared" si="0"/>
        <v>287230</v>
      </c>
      <c r="H37" s="58" t="str">
        <f t="shared" si="1"/>
        <v>CR</v>
      </c>
    </row>
    <row r="38" spans="1:8" x14ac:dyDescent="0.25">
      <c r="A38" s="60">
        <v>45610</v>
      </c>
      <c r="B38" s="62" t="s">
        <v>10</v>
      </c>
      <c r="C38" s="62" t="s">
        <v>10</v>
      </c>
      <c r="D38" s="58" t="s">
        <v>843</v>
      </c>
      <c r="E38" s="82"/>
      <c r="F38" s="81">
        <v>1500</v>
      </c>
      <c r="G38" s="57">
        <f t="shared" si="0"/>
        <v>288730</v>
      </c>
      <c r="H38" s="58" t="str">
        <f t="shared" si="1"/>
        <v>CR</v>
      </c>
    </row>
    <row r="39" spans="1:8" x14ac:dyDescent="0.25">
      <c r="A39" s="60">
        <v>45610</v>
      </c>
      <c r="B39" s="62" t="s">
        <v>634</v>
      </c>
      <c r="C39" s="62" t="s">
        <v>634</v>
      </c>
      <c r="D39" s="58" t="s">
        <v>841</v>
      </c>
      <c r="E39" s="82">
        <v>2000</v>
      </c>
      <c r="F39" s="81"/>
      <c r="G39" s="57">
        <f t="shared" si="0"/>
        <v>286730</v>
      </c>
      <c r="H39" s="58" t="str">
        <f t="shared" si="1"/>
        <v>CR</v>
      </c>
    </row>
    <row r="40" spans="1:8" x14ac:dyDescent="0.25">
      <c r="A40" s="60">
        <v>45611</v>
      </c>
      <c r="B40" s="62" t="s">
        <v>634</v>
      </c>
      <c r="C40" s="62" t="s">
        <v>634</v>
      </c>
      <c r="D40" s="58" t="s">
        <v>842</v>
      </c>
      <c r="E40" s="82">
        <v>11500</v>
      </c>
      <c r="F40" s="81"/>
      <c r="G40" s="57">
        <f t="shared" si="0"/>
        <v>275230</v>
      </c>
      <c r="H40" s="58" t="str">
        <f t="shared" si="1"/>
        <v>CR</v>
      </c>
    </row>
    <row r="41" spans="1:8" x14ac:dyDescent="0.25">
      <c r="A41" s="60">
        <v>45612</v>
      </c>
      <c r="B41" s="62" t="s">
        <v>634</v>
      </c>
      <c r="C41" s="62" t="s">
        <v>634</v>
      </c>
      <c r="D41" s="58" t="s">
        <v>849</v>
      </c>
      <c r="E41" s="82">
        <v>47000</v>
      </c>
      <c r="F41" s="81"/>
      <c r="G41" s="57">
        <f t="shared" si="0"/>
        <v>228230</v>
      </c>
      <c r="H41" s="58" t="str">
        <f t="shared" si="1"/>
        <v>CR</v>
      </c>
    </row>
    <row r="42" spans="1:8" x14ac:dyDescent="0.25">
      <c r="A42" s="60">
        <v>45612</v>
      </c>
      <c r="B42" s="62" t="s">
        <v>10</v>
      </c>
      <c r="C42" s="62" t="s">
        <v>10</v>
      </c>
      <c r="D42" s="58" t="s">
        <v>850</v>
      </c>
      <c r="E42" s="82"/>
      <c r="F42" s="81">
        <v>18000</v>
      </c>
      <c r="G42" s="57">
        <f>G41+F42-E42</f>
        <v>246230</v>
      </c>
      <c r="H42" s="58" t="str">
        <f t="shared" si="1"/>
        <v>CR</v>
      </c>
    </row>
    <row r="43" spans="1:8" x14ac:dyDescent="0.25">
      <c r="A43" s="60">
        <v>45612</v>
      </c>
      <c r="B43" s="62" t="s">
        <v>10</v>
      </c>
      <c r="C43" s="62" t="s">
        <v>10</v>
      </c>
      <c r="D43" s="58" t="s">
        <v>851</v>
      </c>
      <c r="E43" s="82"/>
      <c r="F43" s="81">
        <v>42500</v>
      </c>
      <c r="G43" s="57">
        <f t="shared" si="0"/>
        <v>288730</v>
      </c>
      <c r="H43" s="58" t="str">
        <f t="shared" si="1"/>
        <v>CR</v>
      </c>
    </row>
    <row r="44" spans="1:8" x14ac:dyDescent="0.25">
      <c r="A44" s="60">
        <v>45612</v>
      </c>
      <c r="B44" s="62" t="s">
        <v>10</v>
      </c>
      <c r="C44" s="62" t="s">
        <v>10</v>
      </c>
      <c r="D44" s="58" t="s">
        <v>849</v>
      </c>
      <c r="E44" s="82"/>
      <c r="F44" s="81">
        <v>47000</v>
      </c>
      <c r="G44" s="57">
        <f t="shared" si="0"/>
        <v>335730</v>
      </c>
      <c r="H44" s="58" t="str">
        <f t="shared" si="1"/>
        <v>CR</v>
      </c>
    </row>
    <row r="45" spans="1:8" x14ac:dyDescent="0.25">
      <c r="A45" s="60">
        <v>45612</v>
      </c>
      <c r="B45" s="62" t="s">
        <v>10</v>
      </c>
      <c r="C45" s="62" t="s">
        <v>10</v>
      </c>
      <c r="D45" s="58" t="s">
        <v>852</v>
      </c>
      <c r="E45" s="82"/>
      <c r="F45" s="81">
        <v>13000</v>
      </c>
      <c r="G45" s="57">
        <f>G44+F45-E45</f>
        <v>348730</v>
      </c>
      <c r="H45" s="58" t="str">
        <f t="shared" si="1"/>
        <v>CR</v>
      </c>
    </row>
    <row r="46" spans="1:8" x14ac:dyDescent="0.25">
      <c r="A46" s="60">
        <v>45612</v>
      </c>
      <c r="B46" s="62" t="s">
        <v>10</v>
      </c>
      <c r="C46" s="62" t="s">
        <v>10</v>
      </c>
      <c r="D46" s="58" t="s">
        <v>853</v>
      </c>
      <c r="E46" s="82"/>
      <c r="F46" s="81">
        <v>22500</v>
      </c>
      <c r="G46" s="57">
        <f>G45+F46-E46</f>
        <v>371230</v>
      </c>
      <c r="H46" s="58" t="str">
        <f t="shared" si="1"/>
        <v>CR</v>
      </c>
    </row>
    <row r="47" spans="1:8" x14ac:dyDescent="0.25">
      <c r="A47" s="60">
        <v>45615</v>
      </c>
      <c r="B47" s="62" t="s">
        <v>634</v>
      </c>
      <c r="C47" s="62" t="s">
        <v>634</v>
      </c>
      <c r="D47" s="58" t="s">
        <v>849</v>
      </c>
      <c r="E47" s="82">
        <v>47000</v>
      </c>
      <c r="F47" s="81"/>
      <c r="G47" s="57">
        <f t="shared" si="0"/>
        <v>324230</v>
      </c>
      <c r="H47" s="58" t="str">
        <f t="shared" si="1"/>
        <v>CR</v>
      </c>
    </row>
    <row r="48" spans="1:8" x14ac:dyDescent="0.25">
      <c r="A48" s="60">
        <v>45616</v>
      </c>
      <c r="B48" s="62" t="s">
        <v>10</v>
      </c>
      <c r="C48" s="62" t="s">
        <v>10</v>
      </c>
      <c r="D48" s="58" t="s">
        <v>855</v>
      </c>
      <c r="E48" s="82"/>
      <c r="F48" s="81">
        <v>52000</v>
      </c>
      <c r="G48" s="57">
        <f t="shared" si="0"/>
        <v>376230</v>
      </c>
      <c r="H48" s="58" t="str">
        <f t="shared" si="1"/>
        <v>CR</v>
      </c>
    </row>
    <row r="49" spans="1:8" x14ac:dyDescent="0.25">
      <c r="A49" s="60">
        <v>45616</v>
      </c>
      <c r="B49" s="62" t="s">
        <v>10</v>
      </c>
      <c r="C49" s="62" t="s">
        <v>10</v>
      </c>
      <c r="D49" s="58" t="s">
        <v>849</v>
      </c>
      <c r="E49" s="82"/>
      <c r="F49" s="81">
        <v>47000</v>
      </c>
      <c r="G49" s="57">
        <f t="shared" si="0"/>
        <v>423230</v>
      </c>
      <c r="H49" s="58" t="str">
        <f t="shared" si="1"/>
        <v>CR</v>
      </c>
    </row>
    <row r="50" spans="1:8" x14ac:dyDescent="0.25">
      <c r="A50" s="60">
        <v>45616</v>
      </c>
      <c r="B50" s="62" t="s">
        <v>10</v>
      </c>
      <c r="C50" s="62" t="s">
        <v>10</v>
      </c>
      <c r="D50" s="58" t="s">
        <v>856</v>
      </c>
      <c r="E50" s="82"/>
      <c r="F50" s="81">
        <v>59000</v>
      </c>
      <c r="G50" s="57">
        <f t="shared" si="0"/>
        <v>482230</v>
      </c>
      <c r="H50" s="58" t="str">
        <f t="shared" si="1"/>
        <v>CR</v>
      </c>
    </row>
    <row r="51" spans="1:8" x14ac:dyDescent="0.25">
      <c r="A51" s="60">
        <v>45616</v>
      </c>
      <c r="B51" s="62" t="s">
        <v>10</v>
      </c>
      <c r="C51" s="62" t="s">
        <v>10</v>
      </c>
      <c r="D51" s="58" t="s">
        <v>857</v>
      </c>
      <c r="E51" s="82"/>
      <c r="F51" s="81">
        <v>1700</v>
      </c>
      <c r="G51" s="57">
        <f t="shared" si="0"/>
        <v>483930</v>
      </c>
      <c r="H51" s="58" t="str">
        <f t="shared" si="1"/>
        <v>CR</v>
      </c>
    </row>
    <row r="52" spans="1:8" x14ac:dyDescent="0.25">
      <c r="A52" s="60">
        <v>45616</v>
      </c>
      <c r="B52" s="62" t="s">
        <v>10</v>
      </c>
      <c r="C52" s="62" t="s">
        <v>10</v>
      </c>
      <c r="D52" s="58" t="s">
        <v>858</v>
      </c>
      <c r="E52" s="82"/>
      <c r="F52" s="81">
        <v>1000</v>
      </c>
      <c r="G52" s="57">
        <f t="shared" si="0"/>
        <v>484930</v>
      </c>
      <c r="H52" s="58" t="str">
        <f t="shared" si="1"/>
        <v>CR</v>
      </c>
    </row>
    <row r="53" spans="1:8" x14ac:dyDescent="0.25">
      <c r="A53" s="60">
        <v>45626</v>
      </c>
      <c r="B53" s="62" t="s">
        <v>634</v>
      </c>
      <c r="C53" s="62" t="s">
        <v>634</v>
      </c>
      <c r="D53" s="58" t="s">
        <v>849</v>
      </c>
      <c r="E53" s="82">
        <v>47000</v>
      </c>
      <c r="F53" s="81"/>
      <c r="G53" s="57">
        <f t="shared" si="0"/>
        <v>437930</v>
      </c>
      <c r="H53" s="58" t="str">
        <f t="shared" si="1"/>
        <v>CR</v>
      </c>
    </row>
    <row r="54" spans="1:8" x14ac:dyDescent="0.25">
      <c r="A54" s="60">
        <v>45626</v>
      </c>
      <c r="B54" s="62" t="s">
        <v>859</v>
      </c>
      <c r="C54" s="62" t="s">
        <v>859</v>
      </c>
      <c r="D54" s="58" t="s">
        <v>860</v>
      </c>
      <c r="E54" s="82">
        <v>25000</v>
      </c>
      <c r="F54" s="81"/>
      <c r="G54" s="57">
        <f t="shared" si="0"/>
        <v>412930</v>
      </c>
      <c r="H54" s="58" t="str">
        <f t="shared" si="1"/>
        <v>CR</v>
      </c>
    </row>
    <row r="55" spans="1:8" x14ac:dyDescent="0.25">
      <c r="A55" s="60">
        <v>45629</v>
      </c>
      <c r="B55" s="62" t="s">
        <v>634</v>
      </c>
      <c r="C55" s="62" t="s">
        <v>757</v>
      </c>
      <c r="D55" s="58" t="s">
        <v>861</v>
      </c>
      <c r="E55" s="82">
        <v>1680</v>
      </c>
      <c r="F55" s="81"/>
      <c r="G55" s="57">
        <f t="shared" si="0"/>
        <v>411250</v>
      </c>
      <c r="H55" s="58" t="str">
        <f t="shared" si="1"/>
        <v>CR</v>
      </c>
    </row>
    <row r="56" spans="1:8" x14ac:dyDescent="0.25">
      <c r="A56" s="60">
        <v>45629</v>
      </c>
      <c r="B56" s="62" t="s">
        <v>634</v>
      </c>
      <c r="C56" s="62" t="s">
        <v>634</v>
      </c>
      <c r="D56" s="58" t="s">
        <v>853</v>
      </c>
      <c r="E56" s="82">
        <v>22500</v>
      </c>
      <c r="F56" s="81"/>
      <c r="G56" s="57">
        <f t="shared" si="0"/>
        <v>388750</v>
      </c>
      <c r="H56" s="58" t="str">
        <f t="shared" si="1"/>
        <v>CR</v>
      </c>
    </row>
    <row r="57" spans="1:8" x14ac:dyDescent="0.25">
      <c r="A57" s="60">
        <v>45631</v>
      </c>
      <c r="B57" s="62" t="s">
        <v>634</v>
      </c>
      <c r="C57" s="62" t="s">
        <v>757</v>
      </c>
      <c r="D57" s="58" t="s">
        <v>865</v>
      </c>
      <c r="E57" s="82">
        <v>2700</v>
      </c>
      <c r="F57" s="81"/>
      <c r="G57" s="57">
        <f t="shared" si="0"/>
        <v>386050</v>
      </c>
      <c r="H57" s="58" t="str">
        <f t="shared" si="1"/>
        <v>CR</v>
      </c>
    </row>
    <row r="58" spans="1:8" x14ac:dyDescent="0.25">
      <c r="A58" s="60">
        <v>45632</v>
      </c>
      <c r="B58" s="62" t="s">
        <v>10</v>
      </c>
      <c r="C58" s="62" t="s">
        <v>10</v>
      </c>
      <c r="D58" s="58" t="s">
        <v>866</v>
      </c>
      <c r="E58" s="82"/>
      <c r="F58" s="81">
        <v>12900</v>
      </c>
      <c r="G58" s="57">
        <f>G57+F58-E58</f>
        <v>398950</v>
      </c>
      <c r="H58" s="58" t="str">
        <f t="shared" si="1"/>
        <v>CR</v>
      </c>
    </row>
    <row r="59" spans="1:8" x14ac:dyDescent="0.25">
      <c r="A59" s="60">
        <v>45638</v>
      </c>
      <c r="B59" s="62" t="s">
        <v>634</v>
      </c>
      <c r="C59" s="62" t="s">
        <v>757</v>
      </c>
      <c r="D59" s="58" t="s">
        <v>867</v>
      </c>
      <c r="E59" s="82">
        <v>4600</v>
      </c>
      <c r="F59" s="57"/>
      <c r="G59" s="57">
        <f t="shared" si="0"/>
        <v>394350</v>
      </c>
      <c r="H59" s="58" t="str">
        <f t="shared" si="1"/>
        <v>CR</v>
      </c>
    </row>
    <row r="60" spans="1:8" x14ac:dyDescent="0.25">
      <c r="A60" s="60">
        <v>45638</v>
      </c>
      <c r="B60" s="62" t="s">
        <v>10</v>
      </c>
      <c r="C60" s="62" t="s">
        <v>10</v>
      </c>
      <c r="D60" s="58" t="s">
        <v>868</v>
      </c>
      <c r="E60" s="82"/>
      <c r="F60" s="81">
        <v>25000</v>
      </c>
      <c r="G60" s="57">
        <f t="shared" si="0"/>
        <v>419350</v>
      </c>
      <c r="H60" s="58" t="str">
        <f t="shared" si="1"/>
        <v>CR</v>
      </c>
    </row>
    <row r="61" spans="1:8" x14ac:dyDescent="0.25">
      <c r="A61" s="60">
        <v>45640</v>
      </c>
      <c r="B61" s="62" t="s">
        <v>634</v>
      </c>
      <c r="C61" s="62" t="s">
        <v>782</v>
      </c>
      <c r="D61" s="58" t="s">
        <v>869</v>
      </c>
      <c r="E61" s="82">
        <v>3660</v>
      </c>
      <c r="F61" s="81"/>
      <c r="G61" s="57">
        <f t="shared" si="0"/>
        <v>415690</v>
      </c>
      <c r="H61" s="58" t="str">
        <f t="shared" si="1"/>
        <v>CR</v>
      </c>
    </row>
    <row r="62" spans="1:8" x14ac:dyDescent="0.25">
      <c r="A62" s="60">
        <v>45642</v>
      </c>
      <c r="B62" s="62" t="s">
        <v>10</v>
      </c>
      <c r="C62" s="62" t="s">
        <v>10</v>
      </c>
      <c r="D62" s="58" t="s">
        <v>849</v>
      </c>
      <c r="E62" s="57"/>
      <c r="F62" s="81">
        <v>47000</v>
      </c>
      <c r="G62" s="57">
        <f t="shared" si="0"/>
        <v>462690</v>
      </c>
      <c r="H62" s="58" t="str">
        <f t="shared" si="1"/>
        <v>CR</v>
      </c>
    </row>
    <row r="63" spans="1:8" x14ac:dyDescent="0.25">
      <c r="A63" s="60">
        <v>45647</v>
      </c>
      <c r="B63" s="62" t="s">
        <v>634</v>
      </c>
      <c r="C63" s="62" t="s">
        <v>634</v>
      </c>
      <c r="D63" s="58" t="s">
        <v>875</v>
      </c>
      <c r="E63" s="82">
        <v>70000</v>
      </c>
      <c r="F63" s="81"/>
      <c r="G63" s="57">
        <f t="shared" si="0"/>
        <v>392690</v>
      </c>
      <c r="H63" s="58" t="str">
        <f t="shared" si="1"/>
        <v>CR</v>
      </c>
    </row>
    <row r="64" spans="1:8" x14ac:dyDescent="0.25">
      <c r="A64" s="60">
        <v>45649</v>
      </c>
      <c r="B64" s="62" t="s">
        <v>10</v>
      </c>
      <c r="C64" s="62" t="s">
        <v>10</v>
      </c>
      <c r="D64" s="58" t="s">
        <v>876</v>
      </c>
      <c r="E64" s="82"/>
      <c r="F64" s="81">
        <v>39000</v>
      </c>
      <c r="G64" s="57">
        <f t="shared" si="0"/>
        <v>431690</v>
      </c>
      <c r="H64" s="58" t="str">
        <f t="shared" si="1"/>
        <v>CR</v>
      </c>
    </row>
    <row r="65" spans="1:8" x14ac:dyDescent="0.25">
      <c r="A65" s="60">
        <v>45649</v>
      </c>
      <c r="B65" s="62" t="s">
        <v>10</v>
      </c>
      <c r="C65" s="62" t="s">
        <v>10</v>
      </c>
      <c r="D65" s="58" t="s">
        <v>855</v>
      </c>
      <c r="E65" s="82"/>
      <c r="F65" s="81">
        <v>47000</v>
      </c>
      <c r="G65" s="57">
        <f t="shared" si="0"/>
        <v>478690</v>
      </c>
      <c r="H65" s="58" t="str">
        <f t="shared" si="1"/>
        <v>CR</v>
      </c>
    </row>
    <row r="66" spans="1:8" x14ac:dyDescent="0.25">
      <c r="A66" s="60">
        <v>45649</v>
      </c>
      <c r="B66" s="62" t="s">
        <v>10</v>
      </c>
      <c r="C66" s="62" t="s">
        <v>10</v>
      </c>
      <c r="D66" s="58" t="s">
        <v>877</v>
      </c>
      <c r="E66" s="82"/>
      <c r="F66" s="81">
        <v>49500</v>
      </c>
      <c r="G66" s="57">
        <f t="shared" si="0"/>
        <v>528190</v>
      </c>
      <c r="H66" s="58" t="str">
        <f t="shared" si="1"/>
        <v>CR</v>
      </c>
    </row>
    <row r="67" spans="1:8" x14ac:dyDescent="0.25">
      <c r="A67" s="60">
        <v>45649</v>
      </c>
      <c r="B67" s="62" t="s">
        <v>10</v>
      </c>
      <c r="C67" s="62" t="s">
        <v>10</v>
      </c>
      <c r="D67" s="58" t="s">
        <v>878</v>
      </c>
      <c r="E67" s="82"/>
      <c r="F67" s="81">
        <v>36500</v>
      </c>
      <c r="G67" s="57">
        <f t="shared" si="0"/>
        <v>564690</v>
      </c>
      <c r="H67" s="58" t="str">
        <f t="shared" si="1"/>
        <v>CR</v>
      </c>
    </row>
    <row r="68" spans="1:8" x14ac:dyDescent="0.25">
      <c r="A68" s="60">
        <v>45649</v>
      </c>
      <c r="B68" s="62" t="s">
        <v>10</v>
      </c>
      <c r="C68" s="62" t="s">
        <v>10</v>
      </c>
      <c r="D68" s="58" t="s">
        <v>879</v>
      </c>
      <c r="E68" s="82"/>
      <c r="F68" s="81">
        <v>4400</v>
      </c>
      <c r="G68" s="57">
        <f t="shared" si="0"/>
        <v>569090</v>
      </c>
      <c r="H68" s="58" t="str">
        <f t="shared" si="1"/>
        <v>CR</v>
      </c>
    </row>
    <row r="69" spans="1:8" x14ac:dyDescent="0.25">
      <c r="A69" s="60">
        <v>45297</v>
      </c>
      <c r="B69" s="62" t="s">
        <v>10</v>
      </c>
      <c r="C69" s="62" t="s">
        <v>10</v>
      </c>
      <c r="D69" s="58" t="s">
        <v>881</v>
      </c>
      <c r="E69" s="82"/>
      <c r="F69" s="81">
        <v>48000</v>
      </c>
      <c r="G69" s="57">
        <f t="shared" si="0"/>
        <v>617090</v>
      </c>
      <c r="H69" s="58" t="str">
        <f t="shared" si="1"/>
        <v>CR</v>
      </c>
    </row>
    <row r="70" spans="1:8" x14ac:dyDescent="0.25">
      <c r="A70" s="60">
        <v>45670</v>
      </c>
      <c r="B70" s="62" t="s">
        <v>634</v>
      </c>
      <c r="C70" s="62" t="s">
        <v>634</v>
      </c>
      <c r="D70" s="58" t="s">
        <v>882</v>
      </c>
      <c r="E70" s="82">
        <v>131000</v>
      </c>
      <c r="F70" s="81"/>
      <c r="G70" s="57">
        <f t="shared" si="0"/>
        <v>486090</v>
      </c>
      <c r="H70" s="58" t="str">
        <f t="shared" si="1"/>
        <v>CR</v>
      </c>
    </row>
    <row r="71" spans="1:8" x14ac:dyDescent="0.25">
      <c r="A71" s="60">
        <v>45670</v>
      </c>
      <c r="B71" s="62" t="s">
        <v>10</v>
      </c>
      <c r="C71" s="62" t="s">
        <v>10</v>
      </c>
      <c r="D71" s="58" t="s">
        <v>883</v>
      </c>
      <c r="E71" s="82"/>
      <c r="F71" s="81">
        <v>75000</v>
      </c>
      <c r="G71" s="57">
        <f t="shared" ref="G71:G131" si="2">G70+F71-E71</f>
        <v>561090</v>
      </c>
      <c r="H71" s="58" t="str">
        <f t="shared" si="1"/>
        <v>CR</v>
      </c>
    </row>
    <row r="72" spans="1:8" x14ac:dyDescent="0.25">
      <c r="A72" s="60">
        <v>45670</v>
      </c>
      <c r="B72" s="62" t="s">
        <v>10</v>
      </c>
      <c r="C72" s="62" t="s">
        <v>10</v>
      </c>
      <c r="D72" s="58" t="s">
        <v>855</v>
      </c>
      <c r="E72" s="82"/>
      <c r="F72" s="81">
        <v>47000</v>
      </c>
      <c r="G72" s="57">
        <f t="shared" si="2"/>
        <v>608090</v>
      </c>
      <c r="H72" s="58" t="str">
        <f t="shared" si="1"/>
        <v>CR</v>
      </c>
    </row>
    <row r="73" spans="1:8" x14ac:dyDescent="0.25">
      <c r="A73" s="60">
        <v>45670</v>
      </c>
      <c r="B73" s="62" t="s">
        <v>10</v>
      </c>
      <c r="C73" s="62" t="s">
        <v>10</v>
      </c>
      <c r="D73" s="58" t="s">
        <v>884</v>
      </c>
      <c r="E73" s="82"/>
      <c r="F73" s="81">
        <v>51000</v>
      </c>
      <c r="G73" s="57">
        <f t="shared" si="2"/>
        <v>659090</v>
      </c>
      <c r="H73" s="58" t="str">
        <f t="shared" si="1"/>
        <v>CR</v>
      </c>
    </row>
    <row r="74" spans="1:8" x14ac:dyDescent="0.25">
      <c r="A74" s="60">
        <v>45673</v>
      </c>
      <c r="B74" s="62" t="s">
        <v>10</v>
      </c>
      <c r="C74" s="62" t="s">
        <v>10</v>
      </c>
      <c r="D74" s="58" t="s">
        <v>885</v>
      </c>
      <c r="E74" s="82"/>
      <c r="F74" s="81">
        <v>4100</v>
      </c>
      <c r="G74" s="57">
        <f t="shared" si="2"/>
        <v>663190</v>
      </c>
      <c r="H74" s="58" t="str">
        <f t="shared" si="1"/>
        <v>CR</v>
      </c>
    </row>
    <row r="75" spans="1:8" x14ac:dyDescent="0.25">
      <c r="A75" s="60">
        <v>45678</v>
      </c>
      <c r="B75" s="62" t="s">
        <v>634</v>
      </c>
      <c r="C75" s="62" t="s">
        <v>634</v>
      </c>
      <c r="D75" s="58" t="s">
        <v>886</v>
      </c>
      <c r="E75" s="82">
        <v>187000</v>
      </c>
      <c r="F75" s="57"/>
      <c r="G75" s="57">
        <f t="shared" si="2"/>
        <v>476190</v>
      </c>
      <c r="H75" s="58" t="str">
        <f t="shared" si="1"/>
        <v>CR</v>
      </c>
    </row>
    <row r="76" spans="1:8" x14ac:dyDescent="0.25">
      <c r="A76" s="60">
        <v>45679</v>
      </c>
      <c r="B76" s="62" t="s">
        <v>10</v>
      </c>
      <c r="C76" s="62" t="s">
        <v>10</v>
      </c>
      <c r="D76" s="58" t="s">
        <v>890</v>
      </c>
      <c r="E76" s="57"/>
      <c r="F76" s="57">
        <v>47000</v>
      </c>
      <c r="G76" s="57">
        <f t="shared" si="2"/>
        <v>523190</v>
      </c>
      <c r="H76" s="58" t="str">
        <f t="shared" si="1"/>
        <v>CR</v>
      </c>
    </row>
    <row r="77" spans="1:8" x14ac:dyDescent="0.25">
      <c r="A77" s="60">
        <v>45679</v>
      </c>
      <c r="B77" s="62" t="s">
        <v>10</v>
      </c>
      <c r="C77" s="62" t="s">
        <v>10</v>
      </c>
      <c r="D77" s="58" t="s">
        <v>826</v>
      </c>
      <c r="E77" s="57"/>
      <c r="F77" s="57">
        <v>47000</v>
      </c>
      <c r="G77" s="57">
        <f t="shared" si="2"/>
        <v>570190</v>
      </c>
      <c r="H77" s="58" t="str">
        <f t="shared" si="1"/>
        <v>CR</v>
      </c>
    </row>
    <row r="78" spans="1:8" x14ac:dyDescent="0.25">
      <c r="A78" s="60">
        <v>45679</v>
      </c>
      <c r="B78" s="62" t="s">
        <v>10</v>
      </c>
      <c r="C78" s="62" t="s">
        <v>10</v>
      </c>
      <c r="D78" s="58" t="s">
        <v>881</v>
      </c>
      <c r="E78" s="57"/>
      <c r="F78" s="57">
        <v>48000</v>
      </c>
      <c r="G78" s="57">
        <f t="shared" si="2"/>
        <v>618190</v>
      </c>
      <c r="H78" s="58" t="str">
        <f t="shared" si="1"/>
        <v>CR</v>
      </c>
    </row>
    <row r="79" spans="1:8" x14ac:dyDescent="0.25">
      <c r="A79" s="60">
        <v>45679</v>
      </c>
      <c r="B79" s="62" t="s">
        <v>10</v>
      </c>
      <c r="C79" s="62" t="s">
        <v>10</v>
      </c>
      <c r="D79" s="58" t="s">
        <v>891</v>
      </c>
      <c r="E79" s="57"/>
      <c r="F79" s="57">
        <v>39000</v>
      </c>
      <c r="G79" s="57">
        <f t="shared" si="2"/>
        <v>657190</v>
      </c>
      <c r="H79" s="58" t="str">
        <f t="shared" si="1"/>
        <v>CR</v>
      </c>
    </row>
    <row r="80" spans="1:8" x14ac:dyDescent="0.25">
      <c r="A80" s="60">
        <v>45686</v>
      </c>
      <c r="B80" s="62" t="s">
        <v>10</v>
      </c>
      <c r="C80" s="62" t="s">
        <v>10</v>
      </c>
      <c r="D80" s="58" t="s">
        <v>895</v>
      </c>
      <c r="E80" s="57"/>
      <c r="F80" s="57">
        <v>66500</v>
      </c>
      <c r="G80" s="57">
        <f t="shared" si="2"/>
        <v>723690</v>
      </c>
      <c r="H80" s="58" t="str">
        <f t="shared" si="1"/>
        <v>CR</v>
      </c>
    </row>
    <row r="81" spans="1:8" x14ac:dyDescent="0.25">
      <c r="A81" s="60">
        <v>45689</v>
      </c>
      <c r="B81" s="62" t="s">
        <v>634</v>
      </c>
      <c r="C81" s="62" t="s">
        <v>634</v>
      </c>
      <c r="D81" s="58" t="s">
        <v>896</v>
      </c>
      <c r="E81" s="82">
        <v>131500</v>
      </c>
      <c r="F81" s="57"/>
      <c r="G81" s="57">
        <f t="shared" si="2"/>
        <v>592190</v>
      </c>
      <c r="H81" s="58" t="str">
        <f t="shared" si="1"/>
        <v>CR</v>
      </c>
    </row>
    <row r="82" spans="1:8" x14ac:dyDescent="0.25">
      <c r="A82" s="60">
        <v>45689</v>
      </c>
      <c r="B82" s="62" t="s">
        <v>634</v>
      </c>
      <c r="C82" s="62" t="s">
        <v>634</v>
      </c>
      <c r="D82" s="58" t="s">
        <v>897</v>
      </c>
      <c r="E82" s="57">
        <v>3000</v>
      </c>
      <c r="F82" s="57"/>
      <c r="G82" s="57">
        <f t="shared" si="2"/>
        <v>589190</v>
      </c>
      <c r="H82" s="58" t="str">
        <f t="shared" si="1"/>
        <v>CR</v>
      </c>
    </row>
    <row r="83" spans="1:8" x14ac:dyDescent="0.25">
      <c r="A83" s="60">
        <v>45689</v>
      </c>
      <c r="B83" s="62" t="s">
        <v>10</v>
      </c>
      <c r="C83" s="62" t="s">
        <v>10</v>
      </c>
      <c r="D83" s="58" t="s">
        <v>849</v>
      </c>
      <c r="E83" s="57"/>
      <c r="F83" s="57">
        <v>47000</v>
      </c>
      <c r="G83" s="57">
        <f t="shared" si="2"/>
        <v>636190</v>
      </c>
      <c r="H83" s="58" t="str">
        <f t="shared" si="1"/>
        <v>CR</v>
      </c>
    </row>
    <row r="84" spans="1:8" x14ac:dyDescent="0.25">
      <c r="A84" s="60">
        <v>45689</v>
      </c>
      <c r="B84" s="62" t="s">
        <v>10</v>
      </c>
      <c r="C84" s="62" t="s">
        <v>10</v>
      </c>
      <c r="D84" s="58" t="s">
        <v>898</v>
      </c>
      <c r="E84" s="57"/>
      <c r="F84" s="57">
        <v>31000</v>
      </c>
      <c r="G84" s="57">
        <f t="shared" si="2"/>
        <v>667190</v>
      </c>
      <c r="H84" s="58" t="str">
        <f t="shared" si="1"/>
        <v>CR</v>
      </c>
    </row>
    <row r="85" spans="1:8" x14ac:dyDescent="0.25">
      <c r="A85" s="60">
        <v>45699</v>
      </c>
      <c r="B85" s="62" t="s">
        <v>634</v>
      </c>
      <c r="C85" s="62" t="s">
        <v>634</v>
      </c>
      <c r="D85" s="58" t="s">
        <v>904</v>
      </c>
      <c r="E85" s="57">
        <v>122000</v>
      </c>
      <c r="F85" s="57"/>
      <c r="G85" s="57">
        <f t="shared" si="2"/>
        <v>545190</v>
      </c>
      <c r="H85" s="58" t="str">
        <f t="shared" si="1"/>
        <v>CR</v>
      </c>
    </row>
    <row r="86" spans="1:8" x14ac:dyDescent="0.25">
      <c r="A86" s="60">
        <v>45710</v>
      </c>
      <c r="B86" s="62" t="s">
        <v>10</v>
      </c>
      <c r="C86" s="62" t="s">
        <v>10</v>
      </c>
      <c r="D86" s="58" t="s">
        <v>912</v>
      </c>
      <c r="E86" s="57"/>
      <c r="F86" s="57">
        <v>34000</v>
      </c>
      <c r="G86" s="57">
        <f t="shared" si="2"/>
        <v>579190</v>
      </c>
      <c r="H86" s="58" t="str">
        <f t="shared" si="1"/>
        <v>CR</v>
      </c>
    </row>
    <row r="87" spans="1:8" x14ac:dyDescent="0.25">
      <c r="A87" s="60">
        <v>45710</v>
      </c>
      <c r="B87" s="62" t="s">
        <v>10</v>
      </c>
      <c r="C87" s="62" t="s">
        <v>10</v>
      </c>
      <c r="D87" s="58" t="s">
        <v>913</v>
      </c>
      <c r="E87" s="57"/>
      <c r="F87" s="57">
        <v>51000</v>
      </c>
      <c r="G87" s="57">
        <f t="shared" si="2"/>
        <v>630190</v>
      </c>
      <c r="H87" s="58" t="str">
        <f t="shared" si="1"/>
        <v>CR</v>
      </c>
    </row>
    <row r="88" spans="1:8" x14ac:dyDescent="0.25">
      <c r="A88" s="60">
        <v>45710</v>
      </c>
      <c r="B88" s="62" t="s">
        <v>10</v>
      </c>
      <c r="C88" s="62" t="s">
        <v>10</v>
      </c>
      <c r="D88" s="58" t="s">
        <v>914</v>
      </c>
      <c r="E88" s="57"/>
      <c r="F88" s="57">
        <v>90000</v>
      </c>
      <c r="G88" s="57">
        <f t="shared" si="2"/>
        <v>720190</v>
      </c>
      <c r="H88" s="58" t="str">
        <f t="shared" si="1"/>
        <v>CR</v>
      </c>
    </row>
    <row r="89" spans="1:8" x14ac:dyDescent="0.25">
      <c r="A89" s="60">
        <v>45710</v>
      </c>
      <c r="B89" s="62" t="s">
        <v>10</v>
      </c>
      <c r="C89" s="62" t="s">
        <v>10</v>
      </c>
      <c r="D89" s="58" t="s">
        <v>915</v>
      </c>
      <c r="E89" s="57"/>
      <c r="F89" s="57">
        <v>35500</v>
      </c>
      <c r="G89" s="57">
        <f t="shared" si="2"/>
        <v>755690</v>
      </c>
      <c r="H89" s="58" t="str">
        <f t="shared" si="1"/>
        <v>CR</v>
      </c>
    </row>
    <row r="90" spans="1:8" x14ac:dyDescent="0.25">
      <c r="A90" s="60">
        <v>45710</v>
      </c>
      <c r="B90" s="62" t="s">
        <v>10</v>
      </c>
      <c r="C90" s="62" t="s">
        <v>10</v>
      </c>
      <c r="D90" s="58" t="s">
        <v>916</v>
      </c>
      <c r="E90" s="57"/>
      <c r="F90" s="57">
        <v>42000</v>
      </c>
      <c r="G90" s="57">
        <f t="shared" si="2"/>
        <v>797690</v>
      </c>
      <c r="H90" s="58" t="str">
        <f t="shared" si="1"/>
        <v>CR</v>
      </c>
    </row>
    <row r="91" spans="1:8" x14ac:dyDescent="0.25">
      <c r="A91" s="60">
        <v>45710</v>
      </c>
      <c r="B91" s="62" t="s">
        <v>10</v>
      </c>
      <c r="C91" s="62" t="s">
        <v>10</v>
      </c>
      <c r="D91" s="58" t="s">
        <v>917</v>
      </c>
      <c r="E91" s="57"/>
      <c r="F91" s="57">
        <v>25500</v>
      </c>
      <c r="G91" s="57">
        <f t="shared" si="2"/>
        <v>823190</v>
      </c>
      <c r="H91" s="58" t="str">
        <f t="shared" si="1"/>
        <v>CR</v>
      </c>
    </row>
    <row r="92" spans="1:8" x14ac:dyDescent="0.25">
      <c r="A92" s="60">
        <v>45710</v>
      </c>
      <c r="B92" s="62" t="s">
        <v>10</v>
      </c>
      <c r="C92" s="62" t="s">
        <v>10</v>
      </c>
      <c r="D92" s="58" t="s">
        <v>918</v>
      </c>
      <c r="E92" s="57"/>
      <c r="F92" s="57">
        <v>55000</v>
      </c>
      <c r="G92" s="57">
        <f t="shared" si="2"/>
        <v>878190</v>
      </c>
      <c r="H92" s="58" t="str">
        <f t="shared" si="1"/>
        <v>CR</v>
      </c>
    </row>
    <row r="93" spans="1:8" x14ac:dyDescent="0.25">
      <c r="A93" s="60">
        <v>45710</v>
      </c>
      <c r="B93" s="62" t="s">
        <v>10</v>
      </c>
      <c r="C93" s="62" t="s">
        <v>10</v>
      </c>
      <c r="D93" s="58" t="s">
        <v>919</v>
      </c>
      <c r="E93" s="57"/>
      <c r="F93" s="57">
        <v>40000</v>
      </c>
      <c r="G93" s="57">
        <f t="shared" si="2"/>
        <v>918190</v>
      </c>
      <c r="H93" s="58" t="str">
        <f t="shared" si="1"/>
        <v>CR</v>
      </c>
    </row>
    <row r="94" spans="1:8" x14ac:dyDescent="0.25">
      <c r="A94" s="60">
        <v>45710</v>
      </c>
      <c r="B94" s="62" t="s">
        <v>10</v>
      </c>
      <c r="C94" s="62" t="s">
        <v>10</v>
      </c>
      <c r="D94" s="58" t="s">
        <v>920</v>
      </c>
      <c r="E94" s="57"/>
      <c r="F94" s="57">
        <v>39000</v>
      </c>
      <c r="G94" s="57">
        <f t="shared" si="2"/>
        <v>957190</v>
      </c>
      <c r="H94" s="58" t="str">
        <f t="shared" si="1"/>
        <v>CR</v>
      </c>
    </row>
    <row r="95" spans="1:8" x14ac:dyDescent="0.25">
      <c r="A95" s="60">
        <v>45713</v>
      </c>
      <c r="B95" s="62" t="s">
        <v>634</v>
      </c>
      <c r="C95" s="62" t="s">
        <v>634</v>
      </c>
      <c r="D95" s="58" t="s">
        <v>921</v>
      </c>
      <c r="E95" s="57">
        <v>82000</v>
      </c>
      <c r="F95" s="57"/>
      <c r="G95" s="57">
        <f t="shared" si="2"/>
        <v>875190</v>
      </c>
      <c r="H95" s="58" t="str">
        <f t="shared" si="1"/>
        <v>CR</v>
      </c>
    </row>
    <row r="96" spans="1:8" x14ac:dyDescent="0.25">
      <c r="A96" s="60">
        <v>45726</v>
      </c>
      <c r="B96" s="62" t="s">
        <v>634</v>
      </c>
      <c r="C96" s="62" t="s">
        <v>634</v>
      </c>
      <c r="D96" s="58" t="s">
        <v>884</v>
      </c>
      <c r="E96" s="57">
        <v>51000</v>
      </c>
      <c r="F96" s="57"/>
      <c r="G96" s="57">
        <f t="shared" si="2"/>
        <v>824190</v>
      </c>
      <c r="H96" s="58" t="str">
        <f t="shared" si="1"/>
        <v>CR</v>
      </c>
    </row>
    <row r="97" spans="1:8" x14ac:dyDescent="0.25">
      <c r="A97" s="60">
        <v>45737</v>
      </c>
      <c r="B97" s="62" t="s">
        <v>634</v>
      </c>
      <c r="C97" s="62" t="s">
        <v>634</v>
      </c>
      <c r="D97" s="58" t="s">
        <v>883</v>
      </c>
      <c r="E97" s="57">
        <v>60000</v>
      </c>
      <c r="F97" s="57"/>
      <c r="G97" s="57">
        <f t="shared" si="2"/>
        <v>764190</v>
      </c>
      <c r="H97" s="58" t="str">
        <f t="shared" si="1"/>
        <v>CR</v>
      </c>
    </row>
    <row r="98" spans="1:8" x14ac:dyDescent="0.25">
      <c r="A98" s="60">
        <v>45739</v>
      </c>
      <c r="B98" s="62" t="s">
        <v>634</v>
      </c>
      <c r="C98" s="62" t="s">
        <v>634</v>
      </c>
      <c r="D98" s="58" t="s">
        <v>923</v>
      </c>
      <c r="E98" s="57">
        <v>11700</v>
      </c>
      <c r="F98" s="57"/>
      <c r="G98" s="57">
        <f t="shared" si="2"/>
        <v>752490</v>
      </c>
      <c r="H98" s="58" t="str">
        <f t="shared" si="1"/>
        <v>CR</v>
      </c>
    </row>
    <row r="99" spans="1:8" x14ac:dyDescent="0.25">
      <c r="A99" s="60">
        <v>45756</v>
      </c>
      <c r="B99" s="62" t="s">
        <v>634</v>
      </c>
      <c r="C99" s="62" t="s">
        <v>634</v>
      </c>
      <c r="D99" s="58" t="s">
        <v>924</v>
      </c>
      <c r="E99" s="57">
        <v>120000</v>
      </c>
      <c r="F99" s="57"/>
      <c r="G99" s="57">
        <f t="shared" si="2"/>
        <v>632490</v>
      </c>
      <c r="H99" s="58" t="str">
        <f t="shared" si="1"/>
        <v>CR</v>
      </c>
    </row>
    <row r="100" spans="1:8" x14ac:dyDescent="0.25">
      <c r="A100" s="60">
        <v>45759</v>
      </c>
      <c r="B100" s="62" t="s">
        <v>10</v>
      </c>
      <c r="C100" s="62" t="s">
        <v>10</v>
      </c>
      <c r="D100" s="58" t="s">
        <v>928</v>
      </c>
      <c r="E100" s="57"/>
      <c r="F100" s="57">
        <v>101500</v>
      </c>
      <c r="G100" s="57">
        <f t="shared" si="2"/>
        <v>733990</v>
      </c>
      <c r="H100" s="58" t="str">
        <f t="shared" si="1"/>
        <v>CR</v>
      </c>
    </row>
    <row r="101" spans="1:8" x14ac:dyDescent="0.25">
      <c r="A101" s="60">
        <v>45763</v>
      </c>
      <c r="B101" s="62" t="str">
        <f>$B$99</f>
        <v xml:space="preserve">PAYMENT </v>
      </c>
      <c r="C101" s="62" t="s">
        <v>634</v>
      </c>
      <c r="D101" s="62" t="s">
        <v>634</v>
      </c>
      <c r="E101" s="57">
        <v>40000</v>
      </c>
      <c r="F101" s="57"/>
      <c r="G101" s="57">
        <f t="shared" si="2"/>
        <v>693990</v>
      </c>
      <c r="H101" s="58" t="str">
        <f t="shared" si="1"/>
        <v>CR</v>
      </c>
    </row>
    <row r="102" spans="1:8" x14ac:dyDescent="0.25">
      <c r="A102" s="60">
        <v>45770</v>
      </c>
      <c r="B102" s="62" t="str">
        <f>$B$99</f>
        <v xml:space="preserve">PAYMENT </v>
      </c>
      <c r="C102" s="62" t="str">
        <f>$B$99</f>
        <v xml:space="preserve">PAYMENT </v>
      </c>
      <c r="D102" s="58" t="s">
        <v>931</v>
      </c>
      <c r="E102" s="57">
        <v>5000</v>
      </c>
      <c r="F102" s="57"/>
      <c r="G102" s="57">
        <f t="shared" si="2"/>
        <v>688990</v>
      </c>
      <c r="H102" s="58" t="str">
        <f t="shared" si="1"/>
        <v>CR</v>
      </c>
    </row>
    <row r="103" spans="1:8" x14ac:dyDescent="0.25">
      <c r="A103" s="60">
        <v>45783</v>
      </c>
      <c r="B103" s="62" t="str">
        <f>$B$99</f>
        <v xml:space="preserve">PAYMENT </v>
      </c>
      <c r="C103" s="62" t="str">
        <f>$B$99</f>
        <v xml:space="preserve">PAYMENT </v>
      </c>
      <c r="D103" s="58" t="s">
        <v>842</v>
      </c>
      <c r="E103" s="57">
        <v>32000</v>
      </c>
      <c r="F103" s="57"/>
      <c r="G103" s="57">
        <f t="shared" si="2"/>
        <v>656990</v>
      </c>
      <c r="H103" s="58" t="str">
        <f t="shared" si="1"/>
        <v>CR</v>
      </c>
    </row>
    <row r="104" spans="1:8" x14ac:dyDescent="0.25">
      <c r="A104" s="60">
        <v>45790</v>
      </c>
      <c r="B104" s="62" t="str">
        <f t="shared" ref="B104:C107" si="3">$B$99</f>
        <v xml:space="preserve">PAYMENT </v>
      </c>
      <c r="C104" s="62" t="str">
        <f t="shared" si="3"/>
        <v xml:space="preserve">PAYMENT </v>
      </c>
      <c r="D104" s="58" t="s">
        <v>941</v>
      </c>
      <c r="E104" s="57">
        <v>1200</v>
      </c>
      <c r="F104" s="57"/>
      <c r="G104" s="57">
        <f t="shared" si="2"/>
        <v>655790</v>
      </c>
      <c r="H104" s="58" t="str">
        <f t="shared" si="1"/>
        <v>CR</v>
      </c>
    </row>
    <row r="105" spans="1:8" x14ac:dyDescent="0.25">
      <c r="A105" s="60">
        <v>45791</v>
      </c>
      <c r="B105" s="62" t="str">
        <f t="shared" si="3"/>
        <v xml:space="preserve">PAYMENT </v>
      </c>
      <c r="C105" s="62" t="str">
        <f t="shared" si="3"/>
        <v xml:space="preserve">PAYMENT </v>
      </c>
      <c r="D105" s="58" t="s">
        <v>940</v>
      </c>
      <c r="E105" s="57">
        <v>1000</v>
      </c>
      <c r="F105" s="57"/>
      <c r="G105" s="57">
        <f t="shared" si="2"/>
        <v>654790</v>
      </c>
      <c r="H105" s="58" t="str">
        <f t="shared" si="1"/>
        <v>CR</v>
      </c>
    </row>
    <row r="106" spans="1:8" x14ac:dyDescent="0.25">
      <c r="A106" s="60">
        <v>45792</v>
      </c>
      <c r="B106" s="62" t="str">
        <f t="shared" si="3"/>
        <v xml:space="preserve">PAYMENT </v>
      </c>
      <c r="C106" s="62" t="str">
        <f t="shared" si="3"/>
        <v xml:space="preserve">PAYMENT </v>
      </c>
      <c r="D106" s="58" t="s">
        <v>842</v>
      </c>
      <c r="E106" s="57">
        <v>30000</v>
      </c>
      <c r="F106" s="57"/>
      <c r="G106" s="57">
        <f t="shared" si="2"/>
        <v>624790</v>
      </c>
      <c r="H106" s="58" t="str">
        <f t="shared" si="1"/>
        <v>CR</v>
      </c>
    </row>
    <row r="107" spans="1:8" x14ac:dyDescent="0.25">
      <c r="A107" s="60">
        <v>45797</v>
      </c>
      <c r="B107" s="62" t="str">
        <f t="shared" si="3"/>
        <v xml:space="preserve">PAYMENT </v>
      </c>
      <c r="C107" s="62" t="str">
        <f t="shared" si="3"/>
        <v xml:space="preserve">PAYMENT </v>
      </c>
      <c r="D107" s="58" t="s">
        <v>842</v>
      </c>
      <c r="E107" s="57">
        <v>30000</v>
      </c>
      <c r="F107" s="57"/>
      <c r="G107" s="57">
        <f t="shared" si="2"/>
        <v>594790</v>
      </c>
      <c r="H107" s="58" t="str">
        <f t="shared" si="1"/>
        <v>CR</v>
      </c>
    </row>
    <row r="108" spans="1:8" x14ac:dyDescent="0.25">
      <c r="A108" s="60">
        <v>45797</v>
      </c>
      <c r="B108" s="62" t="s">
        <v>10</v>
      </c>
      <c r="C108" s="62" t="s">
        <v>10</v>
      </c>
      <c r="D108" s="58" t="s">
        <v>942</v>
      </c>
      <c r="E108" s="57"/>
      <c r="F108" s="57">
        <v>50000</v>
      </c>
      <c r="G108" s="57">
        <f t="shared" si="2"/>
        <v>644790</v>
      </c>
      <c r="H108" s="58" t="str">
        <f t="shared" si="1"/>
        <v>CR</v>
      </c>
    </row>
    <row r="109" spans="1:8" x14ac:dyDescent="0.25">
      <c r="A109" s="60">
        <v>45818</v>
      </c>
      <c r="B109" s="62" t="s">
        <v>859</v>
      </c>
      <c r="C109" s="62" t="s">
        <v>859</v>
      </c>
      <c r="D109" s="84" t="s">
        <v>947</v>
      </c>
      <c r="E109" s="57">
        <v>90000</v>
      </c>
      <c r="F109" s="57"/>
      <c r="G109" s="57">
        <f t="shared" si="2"/>
        <v>554790</v>
      </c>
      <c r="H109" s="58" t="str">
        <f t="shared" si="1"/>
        <v>CR</v>
      </c>
    </row>
    <row r="110" spans="1:8" x14ac:dyDescent="0.25">
      <c r="A110" s="60">
        <v>45819</v>
      </c>
      <c r="B110" s="62" t="s">
        <v>10</v>
      </c>
      <c r="C110" s="62" t="s">
        <v>10</v>
      </c>
      <c r="D110" s="58" t="s">
        <v>948</v>
      </c>
      <c r="E110" s="57"/>
      <c r="F110" s="57">
        <v>47500</v>
      </c>
      <c r="G110" s="57">
        <f t="shared" si="2"/>
        <v>602290</v>
      </c>
      <c r="H110" s="58" t="str">
        <f t="shared" si="1"/>
        <v>CR</v>
      </c>
    </row>
    <row r="111" spans="1:8" x14ac:dyDescent="0.25">
      <c r="A111" s="60">
        <v>45823</v>
      </c>
      <c r="B111" s="62" t="str">
        <f t="shared" ref="B111:C113" si="4">$B$99</f>
        <v xml:space="preserve">PAYMENT </v>
      </c>
      <c r="C111" s="62" t="str">
        <f t="shared" si="4"/>
        <v xml:space="preserve">PAYMENT </v>
      </c>
      <c r="D111" s="58" t="s">
        <v>842</v>
      </c>
      <c r="E111" s="57">
        <v>50000</v>
      </c>
      <c r="F111" s="57"/>
      <c r="G111" s="57">
        <f t="shared" si="2"/>
        <v>552290</v>
      </c>
      <c r="H111" s="58" t="str">
        <f t="shared" si="1"/>
        <v>CR</v>
      </c>
    </row>
    <row r="112" spans="1:8" x14ac:dyDescent="0.25">
      <c r="A112" s="60">
        <v>45827</v>
      </c>
      <c r="B112" s="62" t="str">
        <f t="shared" si="4"/>
        <v xml:space="preserve">PAYMENT </v>
      </c>
      <c r="C112" s="62" t="str">
        <f t="shared" si="4"/>
        <v xml:space="preserve">PAYMENT </v>
      </c>
      <c r="D112" s="58" t="s">
        <v>842</v>
      </c>
      <c r="E112" s="57">
        <v>35000</v>
      </c>
      <c r="F112" s="57"/>
      <c r="G112" s="57">
        <f t="shared" si="2"/>
        <v>517290</v>
      </c>
      <c r="H112" s="58" t="str">
        <f t="shared" si="1"/>
        <v>CR</v>
      </c>
    </row>
    <row r="113" spans="1:8" x14ac:dyDescent="0.25">
      <c r="A113" s="60">
        <v>45828</v>
      </c>
      <c r="B113" s="62" t="str">
        <f t="shared" si="4"/>
        <v xml:space="preserve">PAYMENT </v>
      </c>
      <c r="C113" s="62" t="str">
        <f t="shared" si="4"/>
        <v xml:space="preserve">PAYMENT </v>
      </c>
      <c r="D113" s="58" t="s">
        <v>951</v>
      </c>
      <c r="E113" s="57">
        <v>5500</v>
      </c>
      <c r="F113" s="57"/>
      <c r="G113" s="57">
        <f t="shared" si="2"/>
        <v>511790</v>
      </c>
      <c r="H113" s="58" t="str">
        <f t="shared" si="1"/>
        <v>CR</v>
      </c>
    </row>
    <row r="114" spans="1:8" x14ac:dyDescent="0.25">
      <c r="A114" s="60">
        <v>45832</v>
      </c>
      <c r="B114" s="62" t="s">
        <v>10</v>
      </c>
      <c r="C114" s="62" t="s">
        <v>10</v>
      </c>
      <c r="D114" s="58" t="s">
        <v>953</v>
      </c>
      <c r="E114" s="57"/>
      <c r="F114" s="57">
        <v>39000</v>
      </c>
      <c r="G114" s="57">
        <f t="shared" si="2"/>
        <v>550790</v>
      </c>
      <c r="H114" s="58" t="str">
        <f t="shared" si="1"/>
        <v>CR</v>
      </c>
    </row>
    <row r="115" spans="1:8" x14ac:dyDescent="0.25">
      <c r="A115" s="60">
        <v>45832</v>
      </c>
      <c r="B115" s="62" t="s">
        <v>10</v>
      </c>
      <c r="C115" s="62" t="s">
        <v>10</v>
      </c>
      <c r="D115" s="58" t="s">
        <v>954</v>
      </c>
      <c r="E115" s="57"/>
      <c r="F115" s="57">
        <v>39000</v>
      </c>
      <c r="G115" s="57">
        <f t="shared" si="2"/>
        <v>589790</v>
      </c>
      <c r="H115" s="58" t="str">
        <f t="shared" si="1"/>
        <v>CR</v>
      </c>
    </row>
    <row r="116" spans="1:8" x14ac:dyDescent="0.25">
      <c r="A116" s="60">
        <v>45832</v>
      </c>
      <c r="B116" s="62" t="s">
        <v>10</v>
      </c>
      <c r="C116" s="62" t="s">
        <v>10</v>
      </c>
      <c r="D116" s="58" t="s">
        <v>877</v>
      </c>
      <c r="E116" s="57"/>
      <c r="F116" s="57">
        <v>44500</v>
      </c>
      <c r="G116" s="57">
        <f t="shared" si="2"/>
        <v>634290</v>
      </c>
      <c r="H116" s="58" t="str">
        <f t="shared" si="1"/>
        <v>CR</v>
      </c>
    </row>
    <row r="117" spans="1:8" x14ac:dyDescent="0.25">
      <c r="A117" s="60">
        <v>45832</v>
      </c>
      <c r="B117" s="62" t="s">
        <v>10</v>
      </c>
      <c r="C117" s="62" t="s">
        <v>10</v>
      </c>
      <c r="D117" s="58" t="s">
        <v>955</v>
      </c>
      <c r="E117" s="57"/>
      <c r="F117" s="57">
        <v>27500</v>
      </c>
      <c r="G117" s="57">
        <f t="shared" si="2"/>
        <v>661790</v>
      </c>
      <c r="H117" s="58" t="str">
        <f t="shared" si="1"/>
        <v>CR</v>
      </c>
    </row>
    <row r="118" spans="1:8" x14ac:dyDescent="0.25">
      <c r="A118" s="60">
        <v>45832</v>
      </c>
      <c r="B118" s="62" t="s">
        <v>10</v>
      </c>
      <c r="C118" s="62" t="s">
        <v>10</v>
      </c>
      <c r="D118" s="58" t="s">
        <v>956</v>
      </c>
      <c r="E118" s="57"/>
      <c r="F118" s="57">
        <v>27500</v>
      </c>
      <c r="G118" s="57">
        <f t="shared" si="2"/>
        <v>689290</v>
      </c>
      <c r="H118" s="58" t="str">
        <f t="shared" si="1"/>
        <v>CR</v>
      </c>
    </row>
    <row r="119" spans="1:8" x14ac:dyDescent="0.25">
      <c r="A119" s="60">
        <v>45832</v>
      </c>
      <c r="B119" s="62" t="s">
        <v>10</v>
      </c>
      <c r="C119" s="62" t="s">
        <v>10</v>
      </c>
      <c r="D119" s="58" t="s">
        <v>957</v>
      </c>
      <c r="E119" s="57"/>
      <c r="F119" s="57">
        <v>35000</v>
      </c>
      <c r="G119" s="57">
        <f t="shared" si="2"/>
        <v>724290</v>
      </c>
      <c r="H119" s="58" t="str">
        <f t="shared" si="1"/>
        <v>CR</v>
      </c>
    </row>
    <row r="120" spans="1:8" x14ac:dyDescent="0.25">
      <c r="A120" s="60">
        <v>45832</v>
      </c>
      <c r="B120" s="62" t="s">
        <v>10</v>
      </c>
      <c r="C120" s="62" t="s">
        <v>10</v>
      </c>
      <c r="D120" s="58" t="s">
        <v>958</v>
      </c>
      <c r="E120" s="57"/>
      <c r="F120" s="57">
        <v>31500</v>
      </c>
      <c r="G120" s="57">
        <f t="shared" si="2"/>
        <v>755790</v>
      </c>
      <c r="H120" s="58" t="str">
        <f t="shared" si="1"/>
        <v>CR</v>
      </c>
    </row>
    <row r="121" spans="1:8" x14ac:dyDescent="0.25">
      <c r="A121" s="60">
        <v>45832</v>
      </c>
      <c r="B121" s="62" t="s">
        <v>10</v>
      </c>
      <c r="C121" s="62" t="s">
        <v>10</v>
      </c>
      <c r="D121" s="58" t="s">
        <v>959</v>
      </c>
      <c r="E121" s="57"/>
      <c r="F121" s="57">
        <v>45500</v>
      </c>
      <c r="G121" s="57">
        <f t="shared" si="2"/>
        <v>801290</v>
      </c>
      <c r="H121" s="58" t="str">
        <f t="shared" si="1"/>
        <v>CR</v>
      </c>
    </row>
    <row r="122" spans="1:8" x14ac:dyDescent="0.25">
      <c r="A122" s="60">
        <v>45832</v>
      </c>
      <c r="B122" s="62" t="s">
        <v>10</v>
      </c>
      <c r="C122" s="62" t="s">
        <v>10</v>
      </c>
      <c r="D122" s="58" t="s">
        <v>960</v>
      </c>
      <c r="E122" s="57"/>
      <c r="F122" s="57">
        <v>43500</v>
      </c>
      <c r="G122" s="57">
        <f t="shared" si="2"/>
        <v>844790</v>
      </c>
      <c r="H122" s="58" t="str">
        <f t="shared" si="1"/>
        <v>CR</v>
      </c>
    </row>
    <row r="123" spans="1:8" x14ac:dyDescent="0.25">
      <c r="A123" s="60">
        <v>45832</v>
      </c>
      <c r="B123" s="62" t="s">
        <v>10</v>
      </c>
      <c r="C123" s="62" t="s">
        <v>10</v>
      </c>
      <c r="D123" s="58" t="s">
        <v>891</v>
      </c>
      <c r="E123" s="57"/>
      <c r="F123" s="57">
        <v>35000</v>
      </c>
      <c r="G123" s="57">
        <f t="shared" si="2"/>
        <v>879790</v>
      </c>
      <c r="H123" s="58" t="str">
        <f t="shared" si="1"/>
        <v>CR</v>
      </c>
    </row>
    <row r="124" spans="1:8" x14ac:dyDescent="0.25">
      <c r="A124" s="60">
        <v>45832</v>
      </c>
      <c r="B124" s="62" t="s">
        <v>10</v>
      </c>
      <c r="C124" s="62" t="s">
        <v>10</v>
      </c>
      <c r="D124" s="58" t="s">
        <v>961</v>
      </c>
      <c r="E124" s="57"/>
      <c r="F124" s="57">
        <v>42500</v>
      </c>
      <c r="G124" s="57">
        <f t="shared" si="2"/>
        <v>922290</v>
      </c>
      <c r="H124" s="58" t="str">
        <f t="shared" si="1"/>
        <v>CR</v>
      </c>
    </row>
    <row r="125" spans="1:8" x14ac:dyDescent="0.25">
      <c r="A125" s="60">
        <v>45832</v>
      </c>
      <c r="B125" s="62" t="s">
        <v>10</v>
      </c>
      <c r="C125" s="62" t="s">
        <v>10</v>
      </c>
      <c r="D125" s="74" t="s">
        <v>962</v>
      </c>
      <c r="E125" s="57"/>
      <c r="F125" s="57">
        <v>30000</v>
      </c>
      <c r="G125" s="57">
        <f t="shared" si="2"/>
        <v>952290</v>
      </c>
      <c r="H125" s="58" t="str">
        <f t="shared" si="1"/>
        <v>CR</v>
      </c>
    </row>
    <row r="126" spans="1:8" x14ac:dyDescent="0.25">
      <c r="A126" s="60">
        <v>45832</v>
      </c>
      <c r="B126" s="62" t="s">
        <v>10</v>
      </c>
      <c r="C126" s="62" t="s">
        <v>10</v>
      </c>
      <c r="D126" s="74" t="s">
        <v>963</v>
      </c>
      <c r="E126" s="57"/>
      <c r="F126" s="57">
        <v>30000</v>
      </c>
      <c r="G126" s="57">
        <f t="shared" si="2"/>
        <v>982290</v>
      </c>
      <c r="H126" s="58" t="str">
        <f t="shared" si="1"/>
        <v>CR</v>
      </c>
    </row>
    <row r="127" spans="1:8" x14ac:dyDescent="0.25">
      <c r="A127" s="60">
        <v>45832</v>
      </c>
      <c r="B127" s="62" t="s">
        <v>10</v>
      </c>
      <c r="C127" s="62" t="s">
        <v>10</v>
      </c>
      <c r="D127" s="58" t="s">
        <v>964</v>
      </c>
      <c r="E127" s="57"/>
      <c r="F127" s="57">
        <v>28500</v>
      </c>
      <c r="G127" s="57">
        <f t="shared" si="2"/>
        <v>1010790</v>
      </c>
      <c r="H127" s="58" t="str">
        <f t="shared" si="1"/>
        <v>CR</v>
      </c>
    </row>
    <row r="128" spans="1:8" x14ac:dyDescent="0.25">
      <c r="A128" s="60">
        <v>45832</v>
      </c>
      <c r="B128" s="62" t="s">
        <v>10</v>
      </c>
      <c r="C128" s="62" t="s">
        <v>10</v>
      </c>
      <c r="D128" s="58" t="s">
        <v>965</v>
      </c>
      <c r="E128" s="57"/>
      <c r="F128" s="57">
        <v>24500</v>
      </c>
      <c r="G128" s="57">
        <f t="shared" si="2"/>
        <v>1035290</v>
      </c>
      <c r="H128" s="58" t="str">
        <f t="shared" si="1"/>
        <v>CR</v>
      </c>
    </row>
    <row r="129" spans="1:8" x14ac:dyDescent="0.25">
      <c r="A129" s="60">
        <v>45832</v>
      </c>
      <c r="B129" s="62" t="s">
        <v>10</v>
      </c>
      <c r="C129" s="62" t="s">
        <v>10</v>
      </c>
      <c r="D129" s="58" t="s">
        <v>966</v>
      </c>
      <c r="E129" s="57"/>
      <c r="F129" s="57">
        <v>31000</v>
      </c>
      <c r="G129" s="57">
        <f t="shared" si="2"/>
        <v>1066290</v>
      </c>
      <c r="H129" s="58" t="str">
        <f t="shared" si="1"/>
        <v>CR</v>
      </c>
    </row>
    <row r="130" spans="1:8" x14ac:dyDescent="0.25">
      <c r="A130" s="60">
        <v>45832</v>
      </c>
      <c r="B130" s="62" t="s">
        <v>10</v>
      </c>
      <c r="C130" s="62" t="s">
        <v>10</v>
      </c>
      <c r="D130" s="58" t="s">
        <v>967</v>
      </c>
      <c r="E130" s="57"/>
      <c r="F130" s="57">
        <v>31500</v>
      </c>
      <c r="G130" s="57">
        <f t="shared" si="2"/>
        <v>1097790</v>
      </c>
      <c r="H130" s="58" t="str">
        <f t="shared" si="1"/>
        <v>CR</v>
      </c>
    </row>
    <row r="131" spans="1:8" x14ac:dyDescent="0.25">
      <c r="A131" s="60">
        <v>45832</v>
      </c>
      <c r="B131" s="62" t="s">
        <v>10</v>
      </c>
      <c r="C131" s="62" t="s">
        <v>10</v>
      </c>
      <c r="D131" s="58" t="s">
        <v>968</v>
      </c>
      <c r="E131" s="57"/>
      <c r="F131" s="57">
        <v>750</v>
      </c>
      <c r="G131" s="57">
        <f t="shared" si="2"/>
        <v>1098540</v>
      </c>
      <c r="H131" s="58" t="str">
        <f t="shared" si="1"/>
        <v>CR</v>
      </c>
    </row>
    <row r="132" spans="1:8" ht="21" x14ac:dyDescent="0.35">
      <c r="A132" s="75"/>
      <c r="B132" s="76"/>
      <c r="C132" s="76"/>
      <c r="D132" s="76" t="s">
        <v>9</v>
      </c>
      <c r="E132" s="77">
        <f>SUM(E6:E131)</f>
        <v>1697040</v>
      </c>
      <c r="F132" s="77">
        <f>SUM(F6:F131)</f>
        <v>2686300</v>
      </c>
      <c r="G132" s="79">
        <f>G5+F132-E132</f>
        <v>1098540</v>
      </c>
      <c r="H132" s="76" t="str">
        <f t="shared" si="1"/>
        <v>CR</v>
      </c>
    </row>
  </sheetData>
  <mergeCells count="4">
    <mergeCell ref="A1:H1"/>
    <mergeCell ref="A2:H2"/>
    <mergeCell ref="A3:H3"/>
    <mergeCell ref="G4:H4"/>
  </mergeCells>
  <hyperlinks>
    <hyperlink ref="J2" location="'PAYABLES-2024'!A1" display="PAYABLE HOME" xr:uid="{BC4C1CD0-39D1-42B0-B348-0A58839B1D36}"/>
  </hyperlinks>
  <pageMargins left="0.7" right="0.7" top="0.75" bottom="0.75" header="0.3" footer="0.3"/>
  <pageSetup scale="63" orientation="portrait" r:id="rId1"/>
  <colBreaks count="1" manualBreakCount="1">
    <brk id="8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3E89-C661-4B03-87B0-6D33E4580AEE}">
  <dimension ref="A1:J132"/>
  <sheetViews>
    <sheetView zoomScaleNormal="100" workbookViewId="0">
      <pane xSplit="1" ySplit="4" topLeftCell="B41" activePane="bottomRight" state="frozen"/>
      <selection pane="topRight" activeCell="B1" sqref="B1"/>
      <selection pane="bottomLeft" activeCell="A5" sqref="A5"/>
      <selection pane="bottomRight" activeCell="J2" sqref="J2"/>
    </sheetView>
  </sheetViews>
  <sheetFormatPr defaultRowHeight="15.75" x14ac:dyDescent="0.25"/>
  <cols>
    <col min="1" max="1" width="14.7109375" style="59" customWidth="1"/>
    <col min="2" max="2" width="14.140625" style="59" customWidth="1"/>
    <col min="3" max="3" width="15.28515625" style="59" customWidth="1"/>
    <col min="4" max="4" width="57" style="59" bestFit="1" customWidth="1"/>
    <col min="5" max="5" width="18.28515625" style="59" customWidth="1"/>
    <col min="6" max="6" width="16.85546875" style="59" customWidth="1"/>
    <col min="7" max="7" width="17.140625" style="59" customWidth="1"/>
    <col min="8" max="16384" width="9.140625" style="59"/>
  </cols>
  <sheetData>
    <row r="1" spans="1:10" x14ac:dyDescent="0.25">
      <c r="A1" s="103" t="s">
        <v>864</v>
      </c>
      <c r="B1" s="103"/>
      <c r="C1" s="103"/>
      <c r="D1" s="103"/>
      <c r="E1" s="103"/>
      <c r="F1" s="103"/>
      <c r="G1" s="103"/>
      <c r="H1" s="103"/>
    </row>
    <row r="2" spans="1:10" ht="18.75" x14ac:dyDescent="0.3">
      <c r="A2" s="104" t="s">
        <v>768</v>
      </c>
      <c r="B2" s="104"/>
      <c r="C2" s="104"/>
      <c r="D2" s="104"/>
      <c r="E2" s="104"/>
      <c r="F2" s="104"/>
      <c r="G2" s="104"/>
      <c r="H2" s="104"/>
      <c r="J2" s="78" t="s">
        <v>670</v>
      </c>
    </row>
    <row r="3" spans="1:10" x14ac:dyDescent="0.25">
      <c r="A3" s="103" t="s">
        <v>887</v>
      </c>
      <c r="B3" s="103"/>
      <c r="C3" s="103"/>
      <c r="D3" s="103"/>
      <c r="E3" s="103"/>
      <c r="F3" s="103"/>
      <c r="G3" s="103"/>
      <c r="H3" s="103"/>
    </row>
    <row r="4" spans="1:10" x14ac:dyDescent="0.25">
      <c r="A4" s="54" t="s">
        <v>1</v>
      </c>
      <c r="B4" s="55" t="s">
        <v>2</v>
      </c>
      <c r="C4" s="55" t="s">
        <v>3</v>
      </c>
      <c r="D4" s="55" t="s">
        <v>4</v>
      </c>
      <c r="E4" s="56" t="s">
        <v>5</v>
      </c>
      <c r="F4" s="56" t="s">
        <v>6</v>
      </c>
      <c r="G4" s="105" t="s">
        <v>7</v>
      </c>
      <c r="H4" s="105"/>
    </row>
    <row r="5" spans="1:10" x14ac:dyDescent="0.25">
      <c r="A5" s="58"/>
      <c r="B5" s="58"/>
      <c r="C5" s="58"/>
      <c r="D5" s="59" t="s">
        <v>749</v>
      </c>
      <c r="E5" s="57"/>
      <c r="F5" s="57"/>
      <c r="G5" s="57">
        <f>'NASNIM BHI-1'!G132</f>
        <v>1098540</v>
      </c>
      <c r="H5" s="58"/>
    </row>
    <row r="6" spans="1:10" x14ac:dyDescent="0.25">
      <c r="A6" s="60">
        <v>45832</v>
      </c>
      <c r="B6" s="62" t="s">
        <v>10</v>
      </c>
      <c r="C6" s="62" t="s">
        <v>10</v>
      </c>
      <c r="D6" s="71" t="s">
        <v>969</v>
      </c>
      <c r="E6" s="82"/>
      <c r="F6" s="56">
        <v>1100</v>
      </c>
      <c r="G6" s="57">
        <f>G5+F6-E6</f>
        <v>1099640</v>
      </c>
      <c r="H6" s="58" t="str">
        <f>IF(G6=0,"NIL",IF(G6&gt;0,"CR","DR"))</f>
        <v>CR</v>
      </c>
    </row>
    <row r="7" spans="1:10" x14ac:dyDescent="0.25">
      <c r="A7" s="60">
        <v>45832</v>
      </c>
      <c r="B7" s="62" t="s">
        <v>10</v>
      </c>
      <c r="C7" s="62" t="s">
        <v>10</v>
      </c>
      <c r="D7" s="72" t="s">
        <v>970</v>
      </c>
      <c r="E7" s="82"/>
      <c r="F7" s="56">
        <v>4250</v>
      </c>
      <c r="G7" s="57">
        <f t="shared" ref="G7:G131" si="0">G6+F7-E7</f>
        <v>1103890</v>
      </c>
      <c r="H7" s="58" t="str">
        <f t="shared" ref="H7:H132" si="1">IF(G7=0,"NIL",IF(G7&gt;0,"CR","DR"))</f>
        <v>CR</v>
      </c>
    </row>
    <row r="8" spans="1:10" x14ac:dyDescent="0.25">
      <c r="A8" s="60">
        <v>45832</v>
      </c>
      <c r="B8" s="62" t="s">
        <v>10</v>
      </c>
      <c r="C8" s="62" t="s">
        <v>10</v>
      </c>
      <c r="D8" s="71" t="s">
        <v>971</v>
      </c>
      <c r="E8" s="82"/>
      <c r="F8" s="56">
        <v>6600</v>
      </c>
      <c r="G8" s="57">
        <f t="shared" si="0"/>
        <v>1110490</v>
      </c>
      <c r="H8" s="58" t="str">
        <f t="shared" si="1"/>
        <v>CR</v>
      </c>
    </row>
    <row r="9" spans="1:10" x14ac:dyDescent="0.25">
      <c r="A9" s="60">
        <v>45832</v>
      </c>
      <c r="B9" s="62" t="s">
        <v>10</v>
      </c>
      <c r="C9" s="62" t="s">
        <v>10</v>
      </c>
      <c r="D9" s="71" t="s">
        <v>972</v>
      </c>
      <c r="E9" s="82"/>
      <c r="F9" s="56">
        <v>7500</v>
      </c>
      <c r="G9" s="57">
        <f t="shared" si="0"/>
        <v>1117990</v>
      </c>
      <c r="H9" s="58" t="str">
        <f t="shared" si="1"/>
        <v>CR</v>
      </c>
    </row>
    <row r="10" spans="1:10" x14ac:dyDescent="0.25">
      <c r="A10" s="60">
        <v>45832</v>
      </c>
      <c r="B10" s="62" t="s">
        <v>10</v>
      </c>
      <c r="C10" s="62" t="s">
        <v>10</v>
      </c>
      <c r="D10" s="71" t="s">
        <v>973</v>
      </c>
      <c r="E10" s="82"/>
      <c r="F10" s="56">
        <v>5400</v>
      </c>
      <c r="G10" s="57">
        <f t="shared" si="0"/>
        <v>1123390</v>
      </c>
      <c r="H10" s="58" t="str">
        <f t="shared" si="1"/>
        <v>CR</v>
      </c>
    </row>
    <row r="11" spans="1:10" x14ac:dyDescent="0.25">
      <c r="A11" s="60">
        <v>45836</v>
      </c>
      <c r="B11" s="62" t="s">
        <v>10</v>
      </c>
      <c r="C11" s="62" t="s">
        <v>10</v>
      </c>
      <c r="D11" s="72" t="s">
        <v>976</v>
      </c>
      <c r="E11" s="82"/>
      <c r="F11" s="86">
        <v>24000</v>
      </c>
      <c r="G11" s="57">
        <f t="shared" si="0"/>
        <v>1147390</v>
      </c>
      <c r="H11" s="58" t="str">
        <f t="shared" si="1"/>
        <v>CR</v>
      </c>
    </row>
    <row r="12" spans="1:10" x14ac:dyDescent="0.25">
      <c r="A12" s="60">
        <v>45836</v>
      </c>
      <c r="B12" s="62" t="s">
        <v>10</v>
      </c>
      <c r="C12" s="62" t="s">
        <v>10</v>
      </c>
      <c r="D12" s="72" t="s">
        <v>976</v>
      </c>
      <c r="E12" s="82"/>
      <c r="F12" s="86">
        <v>24000</v>
      </c>
      <c r="G12" s="57">
        <f t="shared" si="0"/>
        <v>1171390</v>
      </c>
      <c r="H12" s="58" t="str">
        <f t="shared" si="1"/>
        <v>CR</v>
      </c>
    </row>
    <row r="13" spans="1:10" x14ac:dyDescent="0.25">
      <c r="A13" s="60">
        <v>45836</v>
      </c>
      <c r="B13" s="62" t="s">
        <v>10</v>
      </c>
      <c r="C13" s="62" t="s">
        <v>10</v>
      </c>
      <c r="D13" s="72" t="s">
        <v>977</v>
      </c>
      <c r="E13" s="82"/>
      <c r="F13" s="86">
        <v>58000</v>
      </c>
      <c r="G13" s="57">
        <f>G12+F13-E13</f>
        <v>1229390</v>
      </c>
      <c r="H13" s="58" t="str">
        <f t="shared" si="1"/>
        <v>CR</v>
      </c>
    </row>
    <row r="14" spans="1:10" x14ac:dyDescent="0.25">
      <c r="A14" s="60">
        <v>45836</v>
      </c>
      <c r="B14" s="62" t="s">
        <v>10</v>
      </c>
      <c r="C14" s="62" t="s">
        <v>10</v>
      </c>
      <c r="D14" s="71" t="s">
        <v>978</v>
      </c>
      <c r="E14" s="82"/>
      <c r="F14" s="86">
        <v>68000</v>
      </c>
      <c r="G14" s="57">
        <f>G13+F14-E14</f>
        <v>1297390</v>
      </c>
      <c r="H14" s="58" t="str">
        <f t="shared" si="1"/>
        <v>CR</v>
      </c>
    </row>
    <row r="15" spans="1:10" x14ac:dyDescent="0.25">
      <c r="A15" s="60">
        <v>45846</v>
      </c>
      <c r="B15" s="62" t="s">
        <v>10</v>
      </c>
      <c r="C15" s="62" t="s">
        <v>10</v>
      </c>
      <c r="D15" s="73" t="s">
        <v>985</v>
      </c>
      <c r="E15" s="82"/>
      <c r="F15" s="81">
        <v>10900</v>
      </c>
      <c r="G15" s="57">
        <f t="shared" si="0"/>
        <v>1308290</v>
      </c>
      <c r="H15" s="58" t="str">
        <f t="shared" si="1"/>
        <v>CR</v>
      </c>
    </row>
    <row r="16" spans="1:10" x14ac:dyDescent="0.25">
      <c r="A16" s="60">
        <v>45847</v>
      </c>
      <c r="B16" s="62" t="s">
        <v>634</v>
      </c>
      <c r="C16" s="62" t="s">
        <v>634</v>
      </c>
      <c r="D16" s="72" t="s">
        <v>842</v>
      </c>
      <c r="E16" s="82">
        <v>80000</v>
      </c>
      <c r="F16" s="81"/>
      <c r="G16" s="57">
        <f t="shared" si="0"/>
        <v>1228290</v>
      </c>
      <c r="H16" s="58" t="str">
        <f t="shared" si="1"/>
        <v>CR</v>
      </c>
    </row>
    <row r="17" spans="1:8" x14ac:dyDescent="0.25">
      <c r="A17" s="60">
        <v>45847</v>
      </c>
      <c r="B17" s="62" t="s">
        <v>10</v>
      </c>
      <c r="C17" s="62" t="s">
        <v>10</v>
      </c>
      <c r="D17" s="72" t="s">
        <v>986</v>
      </c>
      <c r="E17" s="82"/>
      <c r="F17" s="81">
        <v>26000</v>
      </c>
      <c r="G17" s="57">
        <f t="shared" si="0"/>
        <v>1254290</v>
      </c>
      <c r="H17" s="58" t="str">
        <f t="shared" si="1"/>
        <v>CR</v>
      </c>
    </row>
    <row r="18" spans="1:8" x14ac:dyDescent="0.25">
      <c r="A18" s="60">
        <v>45850</v>
      </c>
      <c r="B18" s="62" t="s">
        <v>634</v>
      </c>
      <c r="C18" s="62" t="s">
        <v>634</v>
      </c>
      <c r="D18" s="72" t="s">
        <v>992</v>
      </c>
      <c r="E18" s="82">
        <v>5000</v>
      </c>
      <c r="F18" s="81"/>
      <c r="G18" s="57">
        <f t="shared" si="0"/>
        <v>1249290</v>
      </c>
      <c r="H18" s="58" t="str">
        <f t="shared" si="1"/>
        <v>CR</v>
      </c>
    </row>
    <row r="19" spans="1:8" x14ac:dyDescent="0.25">
      <c r="A19" s="60">
        <v>45850</v>
      </c>
      <c r="B19" s="62" t="s">
        <v>634</v>
      </c>
      <c r="C19" s="62" t="s">
        <v>634</v>
      </c>
      <c r="D19" s="72" t="s">
        <v>993</v>
      </c>
      <c r="E19" s="82">
        <v>30000</v>
      </c>
      <c r="F19" s="81"/>
      <c r="G19" s="57">
        <f t="shared" si="0"/>
        <v>1219290</v>
      </c>
      <c r="H19" s="58" t="str">
        <f t="shared" si="1"/>
        <v>CR</v>
      </c>
    </row>
    <row r="20" spans="1:8" x14ac:dyDescent="0.25">
      <c r="A20" s="60">
        <v>45850</v>
      </c>
      <c r="B20" s="62" t="s">
        <v>634</v>
      </c>
      <c r="C20" s="62" t="s">
        <v>634</v>
      </c>
      <c r="D20" s="72" t="s">
        <v>964</v>
      </c>
      <c r="E20" s="82">
        <v>28500</v>
      </c>
      <c r="F20" s="81"/>
      <c r="G20" s="57">
        <f t="shared" si="0"/>
        <v>1190790</v>
      </c>
      <c r="H20" s="58" t="str">
        <f t="shared" si="1"/>
        <v>CR</v>
      </c>
    </row>
    <row r="21" spans="1:8" x14ac:dyDescent="0.25">
      <c r="A21" s="60">
        <v>45850</v>
      </c>
      <c r="B21" s="62" t="s">
        <v>634</v>
      </c>
      <c r="C21" s="62" t="s">
        <v>634</v>
      </c>
      <c r="D21" s="72" t="s">
        <v>976</v>
      </c>
      <c r="E21" s="82">
        <v>24000</v>
      </c>
      <c r="F21" s="81"/>
      <c r="G21" s="57">
        <f t="shared" si="0"/>
        <v>1166790</v>
      </c>
      <c r="H21" s="58" t="str">
        <f t="shared" si="1"/>
        <v>CR</v>
      </c>
    </row>
    <row r="22" spans="1:8" x14ac:dyDescent="0.25">
      <c r="A22" s="60">
        <v>45852</v>
      </c>
      <c r="B22" s="62" t="s">
        <v>10</v>
      </c>
      <c r="C22" s="62" t="s">
        <v>10</v>
      </c>
      <c r="D22" s="72" t="s">
        <v>996</v>
      </c>
      <c r="E22" s="82"/>
      <c r="F22" s="81">
        <v>39000</v>
      </c>
      <c r="G22" s="57">
        <f t="shared" si="0"/>
        <v>1205790</v>
      </c>
      <c r="H22" s="58" t="str">
        <f t="shared" si="1"/>
        <v>CR</v>
      </c>
    </row>
    <row r="23" spans="1:8" x14ac:dyDescent="0.25">
      <c r="A23" s="60">
        <v>45852</v>
      </c>
      <c r="B23" s="62" t="s">
        <v>10</v>
      </c>
      <c r="C23" s="62" t="s">
        <v>10</v>
      </c>
      <c r="D23" s="72" t="s">
        <v>997</v>
      </c>
      <c r="E23" s="82"/>
      <c r="F23" s="81">
        <v>28500</v>
      </c>
      <c r="G23" s="57">
        <f t="shared" si="0"/>
        <v>1234290</v>
      </c>
      <c r="H23" s="58" t="str">
        <f t="shared" si="1"/>
        <v>CR</v>
      </c>
    </row>
    <row r="24" spans="1:8" x14ac:dyDescent="0.25">
      <c r="A24" s="60">
        <v>45852</v>
      </c>
      <c r="B24" s="62" t="s">
        <v>10</v>
      </c>
      <c r="C24" s="62" t="s">
        <v>10</v>
      </c>
      <c r="D24" s="72" t="s">
        <v>998</v>
      </c>
      <c r="E24" s="82"/>
      <c r="F24" s="81">
        <v>28500</v>
      </c>
      <c r="G24" s="57">
        <f t="shared" si="0"/>
        <v>1262790</v>
      </c>
      <c r="H24" s="58" t="str">
        <f t="shared" si="1"/>
        <v>CR</v>
      </c>
    </row>
    <row r="25" spans="1:8" x14ac:dyDescent="0.25">
      <c r="A25" s="60">
        <v>45871</v>
      </c>
      <c r="B25" s="62" t="s">
        <v>859</v>
      </c>
      <c r="C25" s="62" t="s">
        <v>859</v>
      </c>
      <c r="D25" s="72" t="s">
        <v>978</v>
      </c>
      <c r="E25" s="82">
        <v>68000</v>
      </c>
      <c r="F25" s="81"/>
      <c r="G25" s="57">
        <f t="shared" si="0"/>
        <v>1194790</v>
      </c>
      <c r="H25" s="58" t="str">
        <f t="shared" si="1"/>
        <v>CR</v>
      </c>
    </row>
    <row r="26" spans="1:8" x14ac:dyDescent="0.25">
      <c r="A26" s="60">
        <v>45871</v>
      </c>
      <c r="B26" s="62" t="s">
        <v>859</v>
      </c>
      <c r="C26" s="62" t="s">
        <v>859</v>
      </c>
      <c r="D26" s="58" t="s">
        <v>842</v>
      </c>
      <c r="E26" s="82">
        <v>70000</v>
      </c>
      <c r="F26" s="81"/>
      <c r="G26" s="57">
        <f t="shared" si="0"/>
        <v>1124790</v>
      </c>
      <c r="H26" s="58" t="str">
        <f t="shared" si="1"/>
        <v>CR</v>
      </c>
    </row>
    <row r="27" spans="1:8" x14ac:dyDescent="0.25">
      <c r="A27" s="60">
        <v>45130</v>
      </c>
      <c r="B27" s="62" t="s">
        <v>634</v>
      </c>
      <c r="C27" s="62" t="s">
        <v>634</v>
      </c>
      <c r="D27" s="58" t="s">
        <v>842</v>
      </c>
      <c r="E27" s="82">
        <v>8700</v>
      </c>
      <c r="F27" s="81"/>
      <c r="G27" s="57">
        <f t="shared" si="0"/>
        <v>1116090</v>
      </c>
      <c r="H27" s="58" t="str">
        <f t="shared" si="1"/>
        <v>CR</v>
      </c>
    </row>
    <row r="28" spans="1:8" x14ac:dyDescent="0.25">
      <c r="A28" s="60">
        <v>45874</v>
      </c>
      <c r="B28" s="62" t="s">
        <v>634</v>
      </c>
      <c r="C28" s="62" t="s">
        <v>634</v>
      </c>
      <c r="D28" s="58" t="s">
        <v>842</v>
      </c>
      <c r="E28" s="82">
        <v>30000</v>
      </c>
      <c r="F28" s="81"/>
      <c r="G28" s="57">
        <f t="shared" si="0"/>
        <v>1086090</v>
      </c>
      <c r="H28" s="58" t="str">
        <f t="shared" si="1"/>
        <v>CR</v>
      </c>
    </row>
    <row r="29" spans="1:8" x14ac:dyDescent="0.25">
      <c r="A29" s="60">
        <v>45884</v>
      </c>
      <c r="B29" s="62" t="s">
        <v>634</v>
      </c>
      <c r="C29" s="62" t="s">
        <v>634</v>
      </c>
      <c r="D29" s="58" t="s">
        <v>842</v>
      </c>
      <c r="E29" s="82">
        <v>115500</v>
      </c>
      <c r="F29" s="81"/>
      <c r="G29" s="57">
        <f t="shared" si="0"/>
        <v>970590</v>
      </c>
      <c r="H29" s="58" t="str">
        <f t="shared" si="1"/>
        <v>CR</v>
      </c>
    </row>
    <row r="30" spans="1:8" x14ac:dyDescent="0.25">
      <c r="A30" s="60">
        <v>45885</v>
      </c>
      <c r="B30" s="62" t="s">
        <v>10</v>
      </c>
      <c r="C30" s="62" t="s">
        <v>10</v>
      </c>
      <c r="D30" s="72" t="s">
        <v>1014</v>
      </c>
      <c r="E30" s="82"/>
      <c r="F30" s="81">
        <v>44500</v>
      </c>
      <c r="G30" s="57">
        <f t="shared" si="0"/>
        <v>1015090</v>
      </c>
      <c r="H30" s="58" t="str">
        <f t="shared" si="1"/>
        <v>CR</v>
      </c>
    </row>
    <row r="31" spans="1:8" x14ac:dyDescent="0.25">
      <c r="A31" s="60">
        <v>45885</v>
      </c>
      <c r="B31" s="62" t="s">
        <v>10</v>
      </c>
      <c r="C31" s="62" t="s">
        <v>10</v>
      </c>
      <c r="D31" s="58" t="s">
        <v>1015</v>
      </c>
      <c r="E31" s="82"/>
      <c r="F31" s="81">
        <v>39000</v>
      </c>
      <c r="G31" s="57">
        <f t="shared" si="0"/>
        <v>1054090</v>
      </c>
      <c r="H31" s="58" t="str">
        <f t="shared" si="1"/>
        <v>CR</v>
      </c>
    </row>
    <row r="32" spans="1:8" x14ac:dyDescent="0.25">
      <c r="A32" s="60">
        <v>45885</v>
      </c>
      <c r="B32" s="62" t="s">
        <v>10</v>
      </c>
      <c r="C32" s="62" t="s">
        <v>10</v>
      </c>
      <c r="D32" s="58" t="s">
        <v>1016</v>
      </c>
      <c r="E32" s="82"/>
      <c r="F32" s="81">
        <v>48000</v>
      </c>
      <c r="G32" s="57">
        <f t="shared" si="0"/>
        <v>1102090</v>
      </c>
      <c r="H32" s="58" t="str">
        <f t="shared" si="1"/>
        <v>CR</v>
      </c>
    </row>
    <row r="33" spans="1:8" x14ac:dyDescent="0.25">
      <c r="A33" s="60">
        <v>45894</v>
      </c>
      <c r="B33" s="62" t="s">
        <v>634</v>
      </c>
      <c r="C33" s="62" t="s">
        <v>634</v>
      </c>
      <c r="D33" s="58" t="s">
        <v>842</v>
      </c>
      <c r="E33" s="82">
        <v>30000</v>
      </c>
      <c r="F33" s="81"/>
      <c r="G33" s="57">
        <f t="shared" si="0"/>
        <v>1072090</v>
      </c>
      <c r="H33" s="58" t="str">
        <f t="shared" si="1"/>
        <v>CR</v>
      </c>
    </row>
    <row r="34" spans="1:8" x14ac:dyDescent="0.25">
      <c r="A34" s="60">
        <v>45900</v>
      </c>
      <c r="B34" s="62" t="s">
        <v>634</v>
      </c>
      <c r="C34" s="62" t="s">
        <v>634</v>
      </c>
      <c r="D34" s="58" t="s">
        <v>842</v>
      </c>
      <c r="E34" s="82">
        <v>40000</v>
      </c>
      <c r="F34" s="81"/>
      <c r="G34" s="57">
        <f t="shared" si="0"/>
        <v>1032090</v>
      </c>
      <c r="H34" s="58" t="str">
        <f t="shared" si="1"/>
        <v>CR</v>
      </c>
    </row>
    <row r="35" spans="1:8" x14ac:dyDescent="0.25">
      <c r="A35" s="60">
        <v>45902</v>
      </c>
      <c r="B35" s="62" t="s">
        <v>859</v>
      </c>
      <c r="C35" s="62" t="s">
        <v>859</v>
      </c>
      <c r="D35" s="58" t="s">
        <v>1033</v>
      </c>
      <c r="E35" s="82">
        <v>48000</v>
      </c>
      <c r="F35" s="81"/>
      <c r="G35" s="57">
        <f t="shared" si="0"/>
        <v>984090</v>
      </c>
      <c r="H35" s="58" t="str">
        <f t="shared" si="1"/>
        <v>CR</v>
      </c>
    </row>
    <row r="36" spans="1:8" x14ac:dyDescent="0.25">
      <c r="A36" s="60">
        <v>45907</v>
      </c>
      <c r="B36" s="62" t="s">
        <v>10</v>
      </c>
      <c r="C36" s="62" t="s">
        <v>10</v>
      </c>
      <c r="D36" s="58" t="s">
        <v>1034</v>
      </c>
      <c r="E36" s="82"/>
      <c r="F36" s="81">
        <v>42000</v>
      </c>
      <c r="G36" s="57">
        <f t="shared" si="0"/>
        <v>1026090</v>
      </c>
      <c r="H36" s="58" t="str">
        <f t="shared" si="1"/>
        <v>CR</v>
      </c>
    </row>
    <row r="37" spans="1:8" x14ac:dyDescent="0.25">
      <c r="A37" s="60">
        <v>45907</v>
      </c>
      <c r="B37" s="62" t="s">
        <v>10</v>
      </c>
      <c r="C37" s="62" t="s">
        <v>10</v>
      </c>
      <c r="D37" s="58" t="s">
        <v>1035</v>
      </c>
      <c r="E37" s="82"/>
      <c r="F37" s="81">
        <v>46000</v>
      </c>
      <c r="G37" s="57">
        <f t="shared" si="0"/>
        <v>1072090</v>
      </c>
      <c r="H37" s="58" t="str">
        <f t="shared" si="1"/>
        <v>CR</v>
      </c>
    </row>
    <row r="38" spans="1:8" x14ac:dyDescent="0.25">
      <c r="A38" s="60">
        <v>45907</v>
      </c>
      <c r="B38" s="62" t="s">
        <v>10</v>
      </c>
      <c r="C38" s="62" t="s">
        <v>10</v>
      </c>
      <c r="D38" s="58" t="s">
        <v>1036</v>
      </c>
      <c r="E38" s="82"/>
      <c r="F38" s="81">
        <v>33000</v>
      </c>
      <c r="G38" s="57">
        <f t="shared" si="0"/>
        <v>1105090</v>
      </c>
      <c r="H38" s="58" t="str">
        <f t="shared" si="1"/>
        <v>CR</v>
      </c>
    </row>
    <row r="39" spans="1:8" x14ac:dyDescent="0.25">
      <c r="A39" s="60">
        <v>45907</v>
      </c>
      <c r="B39" s="62" t="s">
        <v>10</v>
      </c>
      <c r="C39" s="62" t="s">
        <v>10</v>
      </c>
      <c r="D39" s="58" t="s">
        <v>1037</v>
      </c>
      <c r="E39" s="82"/>
      <c r="F39" s="81">
        <v>47000</v>
      </c>
      <c r="G39" s="57">
        <f t="shared" si="0"/>
        <v>1152090</v>
      </c>
      <c r="H39" s="58" t="str">
        <f t="shared" si="1"/>
        <v>CR</v>
      </c>
    </row>
    <row r="40" spans="1:8" x14ac:dyDescent="0.25">
      <c r="A40" s="60">
        <v>45907</v>
      </c>
      <c r="B40" s="62" t="s">
        <v>10</v>
      </c>
      <c r="C40" s="62" t="s">
        <v>10</v>
      </c>
      <c r="D40" s="58" t="s">
        <v>1038</v>
      </c>
      <c r="E40" s="82"/>
      <c r="F40" s="81">
        <v>39000</v>
      </c>
      <c r="G40" s="57">
        <f t="shared" si="0"/>
        <v>1191090</v>
      </c>
      <c r="H40" s="58" t="str">
        <f t="shared" si="1"/>
        <v>CR</v>
      </c>
    </row>
    <row r="41" spans="1:8" x14ac:dyDescent="0.25">
      <c r="A41" s="60">
        <v>45908</v>
      </c>
      <c r="B41" s="62" t="s">
        <v>634</v>
      </c>
      <c r="C41" s="62" t="s">
        <v>634</v>
      </c>
      <c r="D41" s="58" t="s">
        <v>1039</v>
      </c>
      <c r="E41" s="82">
        <v>100000</v>
      </c>
      <c r="F41" s="81"/>
      <c r="G41" s="57">
        <f t="shared" si="0"/>
        <v>1091090</v>
      </c>
      <c r="H41" s="58" t="str">
        <f t="shared" si="1"/>
        <v>CR</v>
      </c>
    </row>
    <row r="42" spans="1:8" x14ac:dyDescent="0.25">
      <c r="A42" s="60">
        <v>45908</v>
      </c>
      <c r="B42" s="62" t="s">
        <v>634</v>
      </c>
      <c r="C42" s="62" t="s">
        <v>634</v>
      </c>
      <c r="D42" s="58" t="s">
        <v>1039</v>
      </c>
      <c r="E42" s="82">
        <v>50000</v>
      </c>
      <c r="F42" s="81"/>
      <c r="G42" s="57">
        <f>G41+F42-E42</f>
        <v>1041090</v>
      </c>
      <c r="H42" s="58" t="str">
        <f t="shared" si="1"/>
        <v>CR</v>
      </c>
    </row>
    <row r="43" spans="1:8" x14ac:dyDescent="0.25">
      <c r="A43" s="60">
        <v>45909</v>
      </c>
      <c r="B43" s="62" t="s">
        <v>634</v>
      </c>
      <c r="C43" s="62" t="s">
        <v>634</v>
      </c>
      <c r="D43" s="58" t="s">
        <v>842</v>
      </c>
      <c r="E43" s="82">
        <v>50000</v>
      </c>
      <c r="F43" s="81"/>
      <c r="G43" s="57">
        <f t="shared" si="0"/>
        <v>991090</v>
      </c>
      <c r="H43" s="58" t="str">
        <f t="shared" si="1"/>
        <v>CR</v>
      </c>
    </row>
    <row r="44" spans="1:8" x14ac:dyDescent="0.25">
      <c r="A44" s="60">
        <v>45938</v>
      </c>
      <c r="B44" s="62" t="s">
        <v>634</v>
      </c>
      <c r="C44" s="62" t="s">
        <v>634</v>
      </c>
      <c r="D44" s="58" t="s">
        <v>842</v>
      </c>
      <c r="E44" s="82">
        <v>80000</v>
      </c>
      <c r="F44" s="81"/>
      <c r="G44" s="57">
        <f t="shared" si="0"/>
        <v>911090</v>
      </c>
      <c r="H44" s="58" t="str">
        <f t="shared" si="1"/>
        <v>CR</v>
      </c>
    </row>
    <row r="45" spans="1:8" x14ac:dyDescent="0.25">
      <c r="A45" s="60">
        <v>45950</v>
      </c>
      <c r="B45" s="62" t="s">
        <v>634</v>
      </c>
      <c r="C45" s="62" t="s">
        <v>634</v>
      </c>
      <c r="D45" s="58" t="s">
        <v>842</v>
      </c>
      <c r="E45" s="82">
        <v>45000</v>
      </c>
      <c r="F45" s="81"/>
      <c r="G45" s="57">
        <f>G44+F45-E45</f>
        <v>866090</v>
      </c>
      <c r="H45" s="58" t="str">
        <f t="shared" si="1"/>
        <v>CR</v>
      </c>
    </row>
    <row r="46" spans="1:8" x14ac:dyDescent="0.25">
      <c r="A46" s="60">
        <v>45978</v>
      </c>
      <c r="B46" s="62" t="s">
        <v>634</v>
      </c>
      <c r="C46" s="62" t="s">
        <v>634</v>
      </c>
      <c r="D46" s="58" t="s">
        <v>842</v>
      </c>
      <c r="E46" s="82">
        <v>50000</v>
      </c>
      <c r="F46" s="81"/>
      <c r="G46" s="57">
        <f>G45+F46-E46</f>
        <v>816090</v>
      </c>
      <c r="H46" s="58" t="str">
        <f t="shared" si="1"/>
        <v>CR</v>
      </c>
    </row>
    <row r="47" spans="1:8" x14ac:dyDescent="0.25">
      <c r="A47" s="60">
        <v>46017</v>
      </c>
      <c r="B47" s="62" t="s">
        <v>634</v>
      </c>
      <c r="C47" s="62" t="s">
        <v>634</v>
      </c>
      <c r="D47" s="58" t="s">
        <v>842</v>
      </c>
      <c r="E47" s="82">
        <v>50000</v>
      </c>
      <c r="F47" s="81"/>
      <c r="G47" s="57">
        <f t="shared" si="0"/>
        <v>766090</v>
      </c>
      <c r="H47" s="58" t="str">
        <f t="shared" si="1"/>
        <v>CR</v>
      </c>
    </row>
    <row r="48" spans="1:8" x14ac:dyDescent="0.25">
      <c r="A48" s="60">
        <v>46017</v>
      </c>
      <c r="B48" s="62" t="s">
        <v>10</v>
      </c>
      <c r="C48" s="62" t="s">
        <v>10</v>
      </c>
      <c r="D48" s="58" t="s">
        <v>1107</v>
      </c>
      <c r="E48" s="82"/>
      <c r="F48" s="81">
        <v>30000</v>
      </c>
      <c r="G48" s="57">
        <f t="shared" si="0"/>
        <v>796090</v>
      </c>
      <c r="H48" s="58" t="str">
        <f t="shared" si="1"/>
        <v>CR</v>
      </c>
    </row>
    <row r="49" spans="1:8" x14ac:dyDescent="0.25">
      <c r="A49" s="60">
        <v>46017</v>
      </c>
      <c r="B49" s="62" t="s">
        <v>10</v>
      </c>
      <c r="C49" s="62" t="s">
        <v>10</v>
      </c>
      <c r="D49" s="58" t="s">
        <v>1108</v>
      </c>
      <c r="E49" s="82"/>
      <c r="F49" s="81">
        <v>30000</v>
      </c>
      <c r="G49" s="57">
        <f t="shared" si="0"/>
        <v>826090</v>
      </c>
      <c r="H49" s="58" t="str">
        <f t="shared" si="1"/>
        <v>CR</v>
      </c>
    </row>
    <row r="50" spans="1:8" x14ac:dyDescent="0.25">
      <c r="A50" s="60">
        <v>46002</v>
      </c>
      <c r="B50" s="62" t="s">
        <v>634</v>
      </c>
      <c r="C50" s="62" t="s">
        <v>634</v>
      </c>
      <c r="D50" s="58" t="s">
        <v>842</v>
      </c>
      <c r="E50" s="82">
        <v>40000</v>
      </c>
      <c r="F50" s="81"/>
      <c r="G50" s="57">
        <f t="shared" si="0"/>
        <v>786090</v>
      </c>
      <c r="H50" s="58" t="str">
        <f t="shared" si="1"/>
        <v>CR</v>
      </c>
    </row>
    <row r="51" spans="1:8" x14ac:dyDescent="0.25">
      <c r="A51" s="60">
        <v>45840</v>
      </c>
      <c r="B51" s="62" t="s">
        <v>1071</v>
      </c>
      <c r="C51" s="62" t="s">
        <v>1071</v>
      </c>
      <c r="D51" s="58" t="s">
        <v>1199</v>
      </c>
      <c r="E51" s="82">
        <v>196000</v>
      </c>
      <c r="F51" s="81"/>
      <c r="G51" s="57">
        <f t="shared" si="0"/>
        <v>590090</v>
      </c>
      <c r="H51" s="58" t="str">
        <f t="shared" si="1"/>
        <v>CR</v>
      </c>
    </row>
    <row r="52" spans="1:8" x14ac:dyDescent="0.25">
      <c r="A52" s="60"/>
      <c r="B52" s="62"/>
      <c r="C52" s="62"/>
      <c r="D52" s="58"/>
      <c r="E52" s="82"/>
      <c r="F52" s="81"/>
      <c r="G52" s="57">
        <f t="shared" si="0"/>
        <v>590090</v>
      </c>
      <c r="H52" s="58" t="str">
        <f t="shared" si="1"/>
        <v>CR</v>
      </c>
    </row>
    <row r="53" spans="1:8" x14ac:dyDescent="0.25">
      <c r="A53" s="60"/>
      <c r="B53" s="62"/>
      <c r="C53" s="62"/>
      <c r="D53" s="58"/>
      <c r="E53" s="82"/>
      <c r="F53" s="81"/>
      <c r="G53" s="57">
        <f t="shared" si="0"/>
        <v>590090</v>
      </c>
      <c r="H53" s="58" t="str">
        <f t="shared" si="1"/>
        <v>CR</v>
      </c>
    </row>
    <row r="54" spans="1:8" x14ac:dyDescent="0.25">
      <c r="A54" s="60"/>
      <c r="B54" s="62"/>
      <c r="C54" s="62"/>
      <c r="D54" s="58"/>
      <c r="E54" s="82"/>
      <c r="F54" s="81"/>
      <c r="G54" s="57">
        <f t="shared" si="0"/>
        <v>590090</v>
      </c>
      <c r="H54" s="58" t="str">
        <f t="shared" si="1"/>
        <v>CR</v>
      </c>
    </row>
    <row r="55" spans="1:8" x14ac:dyDescent="0.25">
      <c r="A55" s="60"/>
      <c r="B55" s="62"/>
      <c r="C55" s="62"/>
      <c r="D55" s="58"/>
      <c r="E55" s="82"/>
      <c r="F55" s="81"/>
      <c r="G55" s="57">
        <f t="shared" si="0"/>
        <v>590090</v>
      </c>
      <c r="H55" s="58" t="str">
        <f t="shared" si="1"/>
        <v>CR</v>
      </c>
    </row>
    <row r="56" spans="1:8" x14ac:dyDescent="0.25">
      <c r="A56" s="60"/>
      <c r="B56" s="62"/>
      <c r="C56" s="62"/>
      <c r="D56" s="58"/>
      <c r="E56" s="82"/>
      <c r="F56" s="81"/>
      <c r="G56" s="57">
        <f t="shared" si="0"/>
        <v>590090</v>
      </c>
      <c r="H56" s="58" t="str">
        <f t="shared" si="1"/>
        <v>CR</v>
      </c>
    </row>
    <row r="57" spans="1:8" x14ac:dyDescent="0.25">
      <c r="A57" s="60"/>
      <c r="B57" s="62"/>
      <c r="C57" s="62"/>
      <c r="D57" s="58"/>
      <c r="E57" s="82"/>
      <c r="F57" s="81"/>
      <c r="G57" s="57">
        <f t="shared" si="0"/>
        <v>590090</v>
      </c>
      <c r="H57" s="58" t="str">
        <f t="shared" si="1"/>
        <v>CR</v>
      </c>
    </row>
    <row r="58" spans="1:8" x14ac:dyDescent="0.25">
      <c r="A58" s="60"/>
      <c r="B58" s="62"/>
      <c r="C58" s="62"/>
      <c r="D58" s="58"/>
      <c r="E58" s="82"/>
      <c r="F58" s="81"/>
      <c r="G58" s="57">
        <f>G57+F58-E58</f>
        <v>590090</v>
      </c>
      <c r="H58" s="58" t="str">
        <f t="shared" si="1"/>
        <v>CR</v>
      </c>
    </row>
    <row r="59" spans="1:8" x14ac:dyDescent="0.25">
      <c r="A59" s="60"/>
      <c r="B59" s="62"/>
      <c r="C59" s="62"/>
      <c r="D59" s="58"/>
      <c r="E59" s="82"/>
      <c r="F59" s="57"/>
      <c r="G59" s="57">
        <f t="shared" si="0"/>
        <v>590090</v>
      </c>
      <c r="H59" s="58" t="str">
        <f t="shared" si="1"/>
        <v>CR</v>
      </c>
    </row>
    <row r="60" spans="1:8" x14ac:dyDescent="0.25">
      <c r="A60" s="60"/>
      <c r="B60" s="62"/>
      <c r="C60" s="62"/>
      <c r="D60" s="58"/>
      <c r="E60" s="82"/>
      <c r="F60" s="81"/>
      <c r="G60" s="57">
        <f t="shared" si="0"/>
        <v>590090</v>
      </c>
      <c r="H60" s="58" t="str">
        <f t="shared" si="1"/>
        <v>CR</v>
      </c>
    </row>
    <row r="61" spans="1:8" x14ac:dyDescent="0.25">
      <c r="A61" s="60"/>
      <c r="B61" s="62"/>
      <c r="C61" s="62"/>
      <c r="D61" s="58"/>
      <c r="E61" s="82"/>
      <c r="F61" s="81"/>
      <c r="G61" s="57">
        <f t="shared" si="0"/>
        <v>590090</v>
      </c>
      <c r="H61" s="58" t="str">
        <f t="shared" si="1"/>
        <v>CR</v>
      </c>
    </row>
    <row r="62" spans="1:8" x14ac:dyDescent="0.25">
      <c r="A62" s="60"/>
      <c r="B62" s="62"/>
      <c r="C62" s="62"/>
      <c r="D62" s="58"/>
      <c r="E62" s="57"/>
      <c r="F62" s="81"/>
      <c r="G62" s="57">
        <f t="shared" si="0"/>
        <v>590090</v>
      </c>
      <c r="H62" s="58" t="str">
        <f t="shared" si="1"/>
        <v>CR</v>
      </c>
    </row>
    <row r="63" spans="1:8" x14ac:dyDescent="0.25">
      <c r="A63" s="60"/>
      <c r="B63" s="62"/>
      <c r="C63" s="62"/>
      <c r="D63" s="58"/>
      <c r="E63" s="82"/>
      <c r="F63" s="81"/>
      <c r="G63" s="57">
        <f t="shared" si="0"/>
        <v>590090</v>
      </c>
      <c r="H63" s="58" t="str">
        <f t="shared" si="1"/>
        <v>CR</v>
      </c>
    </row>
    <row r="64" spans="1:8" x14ac:dyDescent="0.25">
      <c r="A64" s="60"/>
      <c r="B64" s="62"/>
      <c r="C64" s="62"/>
      <c r="D64" s="58"/>
      <c r="E64" s="82"/>
      <c r="F64" s="81"/>
      <c r="G64" s="57">
        <f t="shared" si="0"/>
        <v>590090</v>
      </c>
      <c r="H64" s="58" t="str">
        <f t="shared" si="1"/>
        <v>CR</v>
      </c>
    </row>
    <row r="65" spans="1:8" x14ac:dyDescent="0.25">
      <c r="A65" s="60"/>
      <c r="B65" s="62"/>
      <c r="C65" s="62"/>
      <c r="D65" s="58"/>
      <c r="E65" s="82"/>
      <c r="F65" s="81"/>
      <c r="G65" s="57">
        <f t="shared" si="0"/>
        <v>590090</v>
      </c>
      <c r="H65" s="58" t="str">
        <f t="shared" si="1"/>
        <v>CR</v>
      </c>
    </row>
    <row r="66" spans="1:8" x14ac:dyDescent="0.25">
      <c r="A66" s="60"/>
      <c r="B66" s="62"/>
      <c r="C66" s="62"/>
      <c r="D66" s="58"/>
      <c r="E66" s="82"/>
      <c r="F66" s="81"/>
      <c r="G66" s="57">
        <f t="shared" si="0"/>
        <v>590090</v>
      </c>
      <c r="H66" s="58" t="str">
        <f t="shared" si="1"/>
        <v>CR</v>
      </c>
    </row>
    <row r="67" spans="1:8" x14ac:dyDescent="0.25">
      <c r="A67" s="60"/>
      <c r="B67" s="62"/>
      <c r="C67" s="62"/>
      <c r="D67" s="58"/>
      <c r="E67" s="82"/>
      <c r="F67" s="81"/>
      <c r="G67" s="57">
        <f t="shared" si="0"/>
        <v>590090</v>
      </c>
      <c r="H67" s="58" t="str">
        <f t="shared" si="1"/>
        <v>CR</v>
      </c>
    </row>
    <row r="68" spans="1:8" x14ac:dyDescent="0.25">
      <c r="A68" s="60"/>
      <c r="B68" s="62"/>
      <c r="C68" s="62"/>
      <c r="D68" s="58"/>
      <c r="E68" s="82"/>
      <c r="F68" s="81"/>
      <c r="G68" s="57">
        <f t="shared" si="0"/>
        <v>590090</v>
      </c>
      <c r="H68" s="58" t="str">
        <f t="shared" si="1"/>
        <v>CR</v>
      </c>
    </row>
    <row r="69" spans="1:8" x14ac:dyDescent="0.25">
      <c r="A69" s="60"/>
      <c r="B69" s="62"/>
      <c r="C69" s="62"/>
      <c r="D69" s="58"/>
      <c r="E69" s="82"/>
      <c r="F69" s="81"/>
      <c r="G69" s="57">
        <f t="shared" si="0"/>
        <v>590090</v>
      </c>
      <c r="H69" s="58" t="str">
        <f t="shared" si="1"/>
        <v>CR</v>
      </c>
    </row>
    <row r="70" spans="1:8" x14ac:dyDescent="0.25">
      <c r="A70" s="60"/>
      <c r="B70" s="62"/>
      <c r="C70" s="62"/>
      <c r="D70" s="58"/>
      <c r="E70" s="82"/>
      <c r="F70" s="81"/>
      <c r="G70" s="57">
        <f t="shared" si="0"/>
        <v>590090</v>
      </c>
      <c r="H70" s="58" t="str">
        <f t="shared" si="1"/>
        <v>CR</v>
      </c>
    </row>
    <row r="71" spans="1:8" x14ac:dyDescent="0.25">
      <c r="A71" s="60"/>
      <c r="B71" s="62"/>
      <c r="C71" s="62"/>
      <c r="D71" s="58"/>
      <c r="E71" s="82"/>
      <c r="F71" s="81"/>
      <c r="G71" s="57">
        <f t="shared" si="0"/>
        <v>590090</v>
      </c>
      <c r="H71" s="58" t="str">
        <f t="shared" si="1"/>
        <v>CR</v>
      </c>
    </row>
    <row r="72" spans="1:8" x14ac:dyDescent="0.25">
      <c r="A72" s="60"/>
      <c r="B72" s="62"/>
      <c r="C72" s="62"/>
      <c r="D72" s="58"/>
      <c r="E72" s="82"/>
      <c r="F72" s="81"/>
      <c r="G72" s="57">
        <f t="shared" si="0"/>
        <v>590090</v>
      </c>
      <c r="H72" s="58" t="str">
        <f t="shared" si="1"/>
        <v>CR</v>
      </c>
    </row>
    <row r="73" spans="1:8" x14ac:dyDescent="0.25">
      <c r="A73" s="60"/>
      <c r="B73" s="62"/>
      <c r="C73" s="62"/>
      <c r="D73" s="58"/>
      <c r="E73" s="82"/>
      <c r="F73" s="81"/>
      <c r="G73" s="57">
        <f t="shared" si="0"/>
        <v>590090</v>
      </c>
      <c r="H73" s="58" t="str">
        <f t="shared" si="1"/>
        <v>CR</v>
      </c>
    </row>
    <row r="74" spans="1:8" x14ac:dyDescent="0.25">
      <c r="A74" s="60"/>
      <c r="B74" s="62"/>
      <c r="C74" s="62"/>
      <c r="D74" s="58"/>
      <c r="E74" s="82"/>
      <c r="F74" s="81"/>
      <c r="G74" s="57">
        <f t="shared" si="0"/>
        <v>590090</v>
      </c>
      <c r="H74" s="58" t="str">
        <f t="shared" si="1"/>
        <v>CR</v>
      </c>
    </row>
    <row r="75" spans="1:8" x14ac:dyDescent="0.25">
      <c r="A75" s="60"/>
      <c r="B75" s="62"/>
      <c r="C75" s="62"/>
      <c r="D75" s="58"/>
      <c r="E75" s="82"/>
      <c r="F75" s="57"/>
      <c r="G75" s="57">
        <f t="shared" si="0"/>
        <v>590090</v>
      </c>
      <c r="H75" s="58" t="str">
        <f t="shared" si="1"/>
        <v>CR</v>
      </c>
    </row>
    <row r="76" spans="1:8" x14ac:dyDescent="0.25">
      <c r="A76" s="60"/>
      <c r="B76" s="62"/>
      <c r="C76" s="62"/>
      <c r="D76" s="58"/>
      <c r="E76" s="57"/>
      <c r="F76" s="57"/>
      <c r="G76" s="57">
        <f t="shared" si="0"/>
        <v>590090</v>
      </c>
      <c r="H76" s="58" t="str">
        <f t="shared" si="1"/>
        <v>CR</v>
      </c>
    </row>
    <row r="77" spans="1:8" x14ac:dyDescent="0.25">
      <c r="A77" s="60"/>
      <c r="B77" s="62"/>
      <c r="C77" s="62"/>
      <c r="D77" s="58"/>
      <c r="E77" s="57"/>
      <c r="F77" s="57"/>
      <c r="G77" s="57">
        <f t="shared" si="0"/>
        <v>590090</v>
      </c>
      <c r="H77" s="58" t="str">
        <f t="shared" si="1"/>
        <v>CR</v>
      </c>
    </row>
    <row r="78" spans="1:8" x14ac:dyDescent="0.25">
      <c r="A78" s="60"/>
      <c r="B78" s="62"/>
      <c r="C78" s="62"/>
      <c r="D78" s="58"/>
      <c r="E78" s="57"/>
      <c r="F78" s="57"/>
      <c r="G78" s="57">
        <f t="shared" si="0"/>
        <v>590090</v>
      </c>
      <c r="H78" s="58" t="str">
        <f t="shared" si="1"/>
        <v>CR</v>
      </c>
    </row>
    <row r="79" spans="1:8" x14ac:dyDescent="0.25">
      <c r="A79" s="60"/>
      <c r="B79" s="62"/>
      <c r="C79" s="62"/>
      <c r="D79" s="58"/>
      <c r="E79" s="57"/>
      <c r="F79" s="57"/>
      <c r="G79" s="57">
        <f t="shared" si="0"/>
        <v>590090</v>
      </c>
      <c r="H79" s="58" t="str">
        <f t="shared" si="1"/>
        <v>CR</v>
      </c>
    </row>
    <row r="80" spans="1:8" x14ac:dyDescent="0.25">
      <c r="A80" s="60"/>
      <c r="B80" s="62"/>
      <c r="C80" s="62"/>
      <c r="D80" s="58"/>
      <c r="E80" s="57"/>
      <c r="F80" s="57"/>
      <c r="G80" s="57">
        <f t="shared" si="0"/>
        <v>590090</v>
      </c>
      <c r="H80" s="58" t="str">
        <f t="shared" si="1"/>
        <v>CR</v>
      </c>
    </row>
    <row r="81" spans="1:8" x14ac:dyDescent="0.25">
      <c r="A81" s="60"/>
      <c r="B81" s="62"/>
      <c r="C81" s="62"/>
      <c r="D81" s="58"/>
      <c r="E81" s="82"/>
      <c r="F81" s="57"/>
      <c r="G81" s="57">
        <f t="shared" si="0"/>
        <v>590090</v>
      </c>
      <c r="H81" s="58" t="str">
        <f t="shared" si="1"/>
        <v>CR</v>
      </c>
    </row>
    <row r="82" spans="1:8" x14ac:dyDescent="0.25">
      <c r="A82" s="60"/>
      <c r="B82" s="62"/>
      <c r="C82" s="62"/>
      <c r="D82" s="58"/>
      <c r="E82" s="57"/>
      <c r="F82" s="57"/>
      <c r="G82" s="57">
        <f t="shared" si="0"/>
        <v>590090</v>
      </c>
      <c r="H82" s="58" t="str">
        <f t="shared" si="1"/>
        <v>CR</v>
      </c>
    </row>
    <row r="83" spans="1:8" x14ac:dyDescent="0.25">
      <c r="A83" s="60"/>
      <c r="B83" s="62"/>
      <c r="C83" s="62"/>
      <c r="D83" s="58"/>
      <c r="E83" s="57"/>
      <c r="F83" s="57"/>
      <c r="G83" s="57">
        <f t="shared" si="0"/>
        <v>590090</v>
      </c>
      <c r="H83" s="58" t="str">
        <f t="shared" si="1"/>
        <v>CR</v>
      </c>
    </row>
    <row r="84" spans="1:8" x14ac:dyDescent="0.25">
      <c r="A84" s="60"/>
      <c r="B84" s="62"/>
      <c r="C84" s="62"/>
      <c r="D84" s="58"/>
      <c r="E84" s="57"/>
      <c r="F84" s="57"/>
      <c r="G84" s="57">
        <f t="shared" si="0"/>
        <v>590090</v>
      </c>
      <c r="H84" s="58" t="str">
        <f t="shared" si="1"/>
        <v>CR</v>
      </c>
    </row>
    <row r="85" spans="1:8" x14ac:dyDescent="0.25">
      <c r="A85" s="60"/>
      <c r="B85" s="62"/>
      <c r="C85" s="62"/>
      <c r="D85" s="58"/>
      <c r="E85" s="57"/>
      <c r="F85" s="57"/>
      <c r="G85" s="57">
        <f t="shared" si="0"/>
        <v>590090</v>
      </c>
      <c r="H85" s="58" t="str">
        <f t="shared" si="1"/>
        <v>CR</v>
      </c>
    </row>
    <row r="86" spans="1:8" x14ac:dyDescent="0.25">
      <c r="A86" s="60"/>
      <c r="B86" s="62"/>
      <c r="C86" s="62"/>
      <c r="D86" s="58"/>
      <c r="E86" s="57"/>
      <c r="F86" s="57"/>
      <c r="G86" s="57">
        <f t="shared" ref="G86:G94" si="2">G85+F86-E86</f>
        <v>590090</v>
      </c>
      <c r="H86" s="58" t="str">
        <f t="shared" si="1"/>
        <v>CR</v>
      </c>
    </row>
    <row r="87" spans="1:8" x14ac:dyDescent="0.25">
      <c r="A87" s="60"/>
      <c r="B87" s="62"/>
      <c r="C87" s="62"/>
      <c r="D87" s="58"/>
      <c r="E87" s="57"/>
      <c r="F87" s="57"/>
      <c r="G87" s="57">
        <f t="shared" si="2"/>
        <v>590090</v>
      </c>
      <c r="H87" s="58" t="str">
        <f t="shared" si="1"/>
        <v>CR</v>
      </c>
    </row>
    <row r="88" spans="1:8" x14ac:dyDescent="0.25">
      <c r="A88" s="60"/>
      <c r="B88" s="62"/>
      <c r="C88" s="62"/>
      <c r="D88" s="58"/>
      <c r="E88" s="57"/>
      <c r="F88" s="57"/>
      <c r="G88" s="57">
        <f t="shared" si="2"/>
        <v>590090</v>
      </c>
      <c r="H88" s="58" t="str">
        <f t="shared" si="1"/>
        <v>CR</v>
      </c>
    </row>
    <row r="89" spans="1:8" x14ac:dyDescent="0.25">
      <c r="A89" s="60"/>
      <c r="B89" s="62"/>
      <c r="C89" s="62"/>
      <c r="D89" s="58"/>
      <c r="E89" s="57"/>
      <c r="F89" s="57"/>
      <c r="G89" s="57">
        <f t="shared" si="2"/>
        <v>590090</v>
      </c>
      <c r="H89" s="58" t="str">
        <f t="shared" si="1"/>
        <v>CR</v>
      </c>
    </row>
    <row r="90" spans="1:8" x14ac:dyDescent="0.25">
      <c r="A90" s="60"/>
      <c r="B90" s="62"/>
      <c r="C90" s="62"/>
      <c r="D90" s="58"/>
      <c r="E90" s="57"/>
      <c r="F90" s="57"/>
      <c r="G90" s="57">
        <f t="shared" si="2"/>
        <v>590090</v>
      </c>
      <c r="H90" s="58" t="str">
        <f t="shared" si="1"/>
        <v>CR</v>
      </c>
    </row>
    <row r="91" spans="1:8" x14ac:dyDescent="0.25">
      <c r="A91" s="60"/>
      <c r="B91" s="62"/>
      <c r="C91" s="62"/>
      <c r="D91" s="58"/>
      <c r="E91" s="57"/>
      <c r="F91" s="57"/>
      <c r="G91" s="57">
        <f t="shared" si="2"/>
        <v>590090</v>
      </c>
      <c r="H91" s="58" t="str">
        <f t="shared" si="1"/>
        <v>CR</v>
      </c>
    </row>
    <row r="92" spans="1:8" x14ac:dyDescent="0.25">
      <c r="A92" s="60"/>
      <c r="B92" s="62"/>
      <c r="C92" s="62"/>
      <c r="D92" s="58"/>
      <c r="E92" s="57"/>
      <c r="F92" s="57"/>
      <c r="G92" s="57">
        <f t="shared" si="2"/>
        <v>590090</v>
      </c>
      <c r="H92" s="58" t="str">
        <f t="shared" si="1"/>
        <v>CR</v>
      </c>
    </row>
    <row r="93" spans="1:8" x14ac:dyDescent="0.25">
      <c r="A93" s="60"/>
      <c r="B93" s="62"/>
      <c r="C93" s="62"/>
      <c r="D93" s="58"/>
      <c r="E93" s="57"/>
      <c r="F93" s="57"/>
      <c r="G93" s="57">
        <f t="shared" si="2"/>
        <v>590090</v>
      </c>
      <c r="H93" s="58" t="str">
        <f t="shared" si="1"/>
        <v>CR</v>
      </c>
    </row>
    <row r="94" spans="1:8" x14ac:dyDescent="0.25">
      <c r="A94" s="60"/>
      <c r="B94" s="62"/>
      <c r="C94" s="62"/>
      <c r="D94" s="58"/>
      <c r="E94" s="57"/>
      <c r="F94" s="57"/>
      <c r="G94" s="57">
        <f t="shared" si="2"/>
        <v>590090</v>
      </c>
      <c r="H94" s="58" t="str">
        <f t="shared" si="1"/>
        <v>CR</v>
      </c>
    </row>
    <row r="95" spans="1:8" x14ac:dyDescent="0.25">
      <c r="A95" s="60"/>
      <c r="B95" s="62"/>
      <c r="C95" s="62"/>
      <c r="D95" s="58"/>
      <c r="E95" s="57"/>
      <c r="F95" s="57"/>
      <c r="G95" s="57">
        <f t="shared" si="0"/>
        <v>590090</v>
      </c>
      <c r="H95" s="58" t="str">
        <f t="shared" si="1"/>
        <v>CR</v>
      </c>
    </row>
    <row r="96" spans="1:8" x14ac:dyDescent="0.25">
      <c r="A96" s="60"/>
      <c r="B96" s="62"/>
      <c r="C96" s="62"/>
      <c r="D96" s="58"/>
      <c r="E96" s="57"/>
      <c r="F96" s="57"/>
      <c r="G96" s="57">
        <f t="shared" si="0"/>
        <v>590090</v>
      </c>
      <c r="H96" s="58" t="str">
        <f t="shared" si="1"/>
        <v>CR</v>
      </c>
    </row>
    <row r="97" spans="1:8" x14ac:dyDescent="0.25">
      <c r="A97" s="60"/>
      <c r="B97" s="62"/>
      <c r="C97" s="62"/>
      <c r="D97" s="58"/>
      <c r="E97" s="57"/>
      <c r="F97" s="57"/>
      <c r="G97" s="57">
        <f t="shared" si="0"/>
        <v>590090</v>
      </c>
      <c r="H97" s="58" t="str">
        <f t="shared" si="1"/>
        <v>CR</v>
      </c>
    </row>
    <row r="98" spans="1:8" x14ac:dyDescent="0.25">
      <c r="A98" s="60"/>
      <c r="B98" s="62"/>
      <c r="C98" s="62"/>
      <c r="D98" s="58"/>
      <c r="E98" s="57"/>
      <c r="F98" s="57"/>
      <c r="G98" s="57">
        <f t="shared" si="0"/>
        <v>590090</v>
      </c>
      <c r="H98" s="58" t="str">
        <f t="shared" si="1"/>
        <v>CR</v>
      </c>
    </row>
    <row r="99" spans="1:8" x14ac:dyDescent="0.25">
      <c r="A99" s="60"/>
      <c r="B99" s="62"/>
      <c r="C99" s="62"/>
      <c r="D99" s="58"/>
      <c r="E99" s="57"/>
      <c r="F99" s="57"/>
      <c r="G99" s="57">
        <f t="shared" si="0"/>
        <v>590090</v>
      </c>
      <c r="H99" s="58" t="str">
        <f t="shared" si="1"/>
        <v>CR</v>
      </c>
    </row>
    <row r="100" spans="1:8" x14ac:dyDescent="0.25">
      <c r="A100" s="60"/>
      <c r="B100" s="62"/>
      <c r="C100" s="62"/>
      <c r="D100" s="58"/>
      <c r="E100" s="57"/>
      <c r="F100" s="57"/>
      <c r="G100" s="57">
        <f t="shared" si="0"/>
        <v>590090</v>
      </c>
      <c r="H100" s="58" t="str">
        <f t="shared" si="1"/>
        <v>CR</v>
      </c>
    </row>
    <row r="101" spans="1:8" x14ac:dyDescent="0.25">
      <c r="A101" s="60"/>
      <c r="B101" s="62"/>
      <c r="C101" s="62"/>
      <c r="D101" s="62"/>
      <c r="E101" s="57"/>
      <c r="F101" s="57"/>
      <c r="G101" s="57">
        <f t="shared" si="0"/>
        <v>590090</v>
      </c>
      <c r="H101" s="58" t="str">
        <f t="shared" si="1"/>
        <v>CR</v>
      </c>
    </row>
    <row r="102" spans="1:8" x14ac:dyDescent="0.25">
      <c r="A102" s="60"/>
      <c r="B102" s="62"/>
      <c r="C102" s="62"/>
      <c r="D102" s="58"/>
      <c r="E102" s="57"/>
      <c r="F102" s="57"/>
      <c r="G102" s="57">
        <f t="shared" si="0"/>
        <v>590090</v>
      </c>
      <c r="H102" s="58" t="str">
        <f t="shared" si="1"/>
        <v>CR</v>
      </c>
    </row>
    <row r="103" spans="1:8" x14ac:dyDescent="0.25">
      <c r="A103" s="60"/>
      <c r="B103" s="62"/>
      <c r="C103" s="62"/>
      <c r="D103" s="58"/>
      <c r="E103" s="57"/>
      <c r="F103" s="57"/>
      <c r="G103" s="57">
        <f t="shared" si="0"/>
        <v>590090</v>
      </c>
      <c r="H103" s="58" t="str">
        <f t="shared" si="1"/>
        <v>CR</v>
      </c>
    </row>
    <row r="104" spans="1:8" x14ac:dyDescent="0.25">
      <c r="A104" s="60"/>
      <c r="B104" s="62"/>
      <c r="C104" s="62"/>
      <c r="D104" s="58"/>
      <c r="E104" s="57"/>
      <c r="F104" s="57"/>
      <c r="G104" s="57">
        <f t="shared" si="0"/>
        <v>590090</v>
      </c>
      <c r="H104" s="58" t="str">
        <f t="shared" si="1"/>
        <v>CR</v>
      </c>
    </row>
    <row r="105" spans="1:8" x14ac:dyDescent="0.25">
      <c r="A105" s="60"/>
      <c r="B105" s="62"/>
      <c r="C105" s="62"/>
      <c r="D105" s="58"/>
      <c r="E105" s="57"/>
      <c r="F105" s="57"/>
      <c r="G105" s="57">
        <f t="shared" si="0"/>
        <v>590090</v>
      </c>
      <c r="H105" s="58" t="str">
        <f t="shared" si="1"/>
        <v>CR</v>
      </c>
    </row>
    <row r="106" spans="1:8" x14ac:dyDescent="0.25">
      <c r="A106" s="60"/>
      <c r="B106" s="62"/>
      <c r="C106" s="62"/>
      <c r="D106" s="58"/>
      <c r="E106" s="57"/>
      <c r="F106" s="57"/>
      <c r="G106" s="57">
        <f t="shared" si="0"/>
        <v>590090</v>
      </c>
      <c r="H106" s="58" t="str">
        <f t="shared" si="1"/>
        <v>CR</v>
      </c>
    </row>
    <row r="107" spans="1:8" x14ac:dyDescent="0.25">
      <c r="A107" s="60"/>
      <c r="B107" s="62"/>
      <c r="C107" s="62"/>
      <c r="D107" s="58"/>
      <c r="E107" s="57"/>
      <c r="F107" s="57"/>
      <c r="G107" s="57">
        <f t="shared" si="0"/>
        <v>590090</v>
      </c>
      <c r="H107" s="58" t="str">
        <f t="shared" si="1"/>
        <v>CR</v>
      </c>
    </row>
    <row r="108" spans="1:8" x14ac:dyDescent="0.25">
      <c r="A108" s="60"/>
      <c r="B108" s="62"/>
      <c r="C108" s="62"/>
      <c r="D108" s="58"/>
      <c r="E108" s="57"/>
      <c r="F108" s="57"/>
      <c r="G108" s="57">
        <f t="shared" si="0"/>
        <v>590090</v>
      </c>
      <c r="H108" s="58" t="str">
        <f t="shared" si="1"/>
        <v>CR</v>
      </c>
    </row>
    <row r="109" spans="1:8" x14ac:dyDescent="0.25">
      <c r="A109" s="60"/>
      <c r="B109" s="62"/>
      <c r="C109" s="62"/>
      <c r="D109" s="84"/>
      <c r="E109" s="57"/>
      <c r="F109" s="57"/>
      <c r="G109" s="57">
        <f t="shared" si="0"/>
        <v>590090</v>
      </c>
      <c r="H109" s="58" t="str">
        <f t="shared" si="1"/>
        <v>CR</v>
      </c>
    </row>
    <row r="110" spans="1:8" x14ac:dyDescent="0.25">
      <c r="A110" s="60"/>
      <c r="B110" s="62"/>
      <c r="C110" s="62"/>
      <c r="D110" s="58"/>
      <c r="E110" s="57"/>
      <c r="F110" s="57"/>
      <c r="G110" s="57">
        <f t="shared" si="0"/>
        <v>590090</v>
      </c>
      <c r="H110" s="58" t="str">
        <f t="shared" si="1"/>
        <v>CR</v>
      </c>
    </row>
    <row r="111" spans="1:8" x14ac:dyDescent="0.25">
      <c r="A111" s="60"/>
      <c r="B111" s="62"/>
      <c r="C111" s="62"/>
      <c r="D111" s="58"/>
      <c r="E111" s="57"/>
      <c r="F111" s="57"/>
      <c r="G111" s="57">
        <f t="shared" si="0"/>
        <v>590090</v>
      </c>
      <c r="H111" s="58" t="str">
        <f t="shared" si="1"/>
        <v>CR</v>
      </c>
    </row>
    <row r="112" spans="1:8" x14ac:dyDescent="0.25">
      <c r="A112" s="60"/>
      <c r="B112" s="62"/>
      <c r="C112" s="62"/>
      <c r="D112" s="58"/>
      <c r="E112" s="57"/>
      <c r="F112" s="57"/>
      <c r="G112" s="57">
        <f t="shared" si="0"/>
        <v>590090</v>
      </c>
      <c r="H112" s="58" t="str">
        <f t="shared" si="1"/>
        <v>CR</v>
      </c>
    </row>
    <row r="113" spans="1:8" x14ac:dyDescent="0.25">
      <c r="A113" s="60"/>
      <c r="B113" s="62"/>
      <c r="C113" s="62"/>
      <c r="D113" s="58"/>
      <c r="E113" s="57"/>
      <c r="F113" s="57"/>
      <c r="G113" s="57">
        <f t="shared" si="0"/>
        <v>590090</v>
      </c>
      <c r="H113" s="58" t="str">
        <f t="shared" si="1"/>
        <v>CR</v>
      </c>
    </row>
    <row r="114" spans="1:8" x14ac:dyDescent="0.25">
      <c r="A114" s="60"/>
      <c r="B114" s="62"/>
      <c r="C114" s="62"/>
      <c r="D114" s="58"/>
      <c r="E114" s="57"/>
      <c r="F114" s="57"/>
      <c r="G114" s="57">
        <f t="shared" si="0"/>
        <v>590090</v>
      </c>
      <c r="H114" s="58" t="str">
        <f t="shared" si="1"/>
        <v>CR</v>
      </c>
    </row>
    <row r="115" spans="1:8" x14ac:dyDescent="0.25">
      <c r="A115" s="60"/>
      <c r="B115" s="62"/>
      <c r="C115" s="62"/>
      <c r="D115" s="58"/>
      <c r="E115" s="57"/>
      <c r="F115" s="57"/>
      <c r="G115" s="57">
        <f t="shared" si="0"/>
        <v>590090</v>
      </c>
      <c r="H115" s="58" t="str">
        <f t="shared" si="1"/>
        <v>CR</v>
      </c>
    </row>
    <row r="116" spans="1:8" x14ac:dyDescent="0.25">
      <c r="A116" s="60"/>
      <c r="B116" s="62"/>
      <c r="C116" s="62"/>
      <c r="D116" s="58"/>
      <c r="E116" s="57"/>
      <c r="F116" s="57"/>
      <c r="G116" s="57">
        <f t="shared" si="0"/>
        <v>590090</v>
      </c>
      <c r="H116" s="58" t="str">
        <f t="shared" si="1"/>
        <v>CR</v>
      </c>
    </row>
    <row r="117" spans="1:8" x14ac:dyDescent="0.25">
      <c r="A117" s="60"/>
      <c r="B117" s="62"/>
      <c r="C117" s="62"/>
      <c r="D117" s="58"/>
      <c r="E117" s="57"/>
      <c r="F117" s="57"/>
      <c r="G117" s="57">
        <f t="shared" si="0"/>
        <v>590090</v>
      </c>
      <c r="H117" s="58" t="str">
        <f t="shared" si="1"/>
        <v>CR</v>
      </c>
    </row>
    <row r="118" spans="1:8" x14ac:dyDescent="0.25">
      <c r="A118" s="60"/>
      <c r="B118" s="62"/>
      <c r="C118" s="62"/>
      <c r="D118" s="58"/>
      <c r="E118" s="57"/>
      <c r="F118" s="57"/>
      <c r="G118" s="57">
        <f t="shared" si="0"/>
        <v>590090</v>
      </c>
      <c r="H118" s="58" t="str">
        <f t="shared" si="1"/>
        <v>CR</v>
      </c>
    </row>
    <row r="119" spans="1:8" x14ac:dyDescent="0.25">
      <c r="A119" s="60"/>
      <c r="B119" s="62"/>
      <c r="C119" s="62"/>
      <c r="D119" s="58"/>
      <c r="E119" s="57"/>
      <c r="F119" s="57"/>
      <c r="G119" s="57">
        <f t="shared" si="0"/>
        <v>590090</v>
      </c>
      <c r="H119" s="58" t="str">
        <f t="shared" si="1"/>
        <v>CR</v>
      </c>
    </row>
    <row r="120" spans="1:8" x14ac:dyDescent="0.25">
      <c r="A120" s="60"/>
      <c r="B120" s="62"/>
      <c r="C120" s="62"/>
      <c r="D120" s="58"/>
      <c r="E120" s="57"/>
      <c r="F120" s="57"/>
      <c r="G120" s="57">
        <f t="shared" si="0"/>
        <v>590090</v>
      </c>
      <c r="H120" s="58" t="str">
        <f t="shared" si="1"/>
        <v>CR</v>
      </c>
    </row>
    <row r="121" spans="1:8" x14ac:dyDescent="0.25">
      <c r="A121" s="60"/>
      <c r="B121" s="62"/>
      <c r="C121" s="62"/>
      <c r="D121" s="58"/>
      <c r="E121" s="57"/>
      <c r="F121" s="57"/>
      <c r="G121" s="57">
        <f t="shared" si="0"/>
        <v>590090</v>
      </c>
      <c r="H121" s="58" t="str">
        <f t="shared" si="1"/>
        <v>CR</v>
      </c>
    </row>
    <row r="122" spans="1:8" x14ac:dyDescent="0.25">
      <c r="A122" s="60"/>
      <c r="B122" s="62"/>
      <c r="C122" s="62"/>
      <c r="D122" s="58"/>
      <c r="E122" s="57"/>
      <c r="F122" s="57"/>
      <c r="G122" s="57">
        <f t="shared" si="0"/>
        <v>590090</v>
      </c>
      <c r="H122" s="58" t="str">
        <f t="shared" si="1"/>
        <v>CR</v>
      </c>
    </row>
    <row r="123" spans="1:8" x14ac:dyDescent="0.25">
      <c r="A123" s="60"/>
      <c r="B123" s="62"/>
      <c r="C123" s="62"/>
      <c r="D123" s="58"/>
      <c r="E123" s="57"/>
      <c r="F123" s="57"/>
      <c r="G123" s="57">
        <f t="shared" si="0"/>
        <v>590090</v>
      </c>
      <c r="H123" s="58" t="str">
        <f t="shared" si="1"/>
        <v>CR</v>
      </c>
    </row>
    <row r="124" spans="1:8" x14ac:dyDescent="0.25">
      <c r="A124" s="60"/>
      <c r="B124" s="62"/>
      <c r="C124" s="62"/>
      <c r="D124" s="58"/>
      <c r="E124" s="57"/>
      <c r="F124" s="57"/>
      <c r="G124" s="57">
        <f t="shared" si="0"/>
        <v>590090</v>
      </c>
      <c r="H124" s="58" t="str">
        <f t="shared" si="1"/>
        <v>CR</v>
      </c>
    </row>
    <row r="125" spans="1:8" x14ac:dyDescent="0.25">
      <c r="A125" s="60"/>
      <c r="B125" s="62"/>
      <c r="C125" s="62"/>
      <c r="D125" s="74"/>
      <c r="E125" s="57"/>
      <c r="F125" s="57"/>
      <c r="G125" s="57">
        <f t="shared" si="0"/>
        <v>590090</v>
      </c>
      <c r="H125" s="58" t="str">
        <f t="shared" si="1"/>
        <v>CR</v>
      </c>
    </row>
    <row r="126" spans="1:8" x14ac:dyDescent="0.25">
      <c r="A126" s="60"/>
      <c r="B126" s="62"/>
      <c r="C126" s="62"/>
      <c r="D126" s="74"/>
      <c r="E126" s="57"/>
      <c r="F126" s="57"/>
      <c r="G126" s="57">
        <f t="shared" si="0"/>
        <v>590090</v>
      </c>
      <c r="H126" s="58" t="str">
        <f t="shared" si="1"/>
        <v>CR</v>
      </c>
    </row>
    <row r="127" spans="1:8" x14ac:dyDescent="0.25">
      <c r="A127" s="60"/>
      <c r="B127" s="62"/>
      <c r="C127" s="62"/>
      <c r="D127" s="58"/>
      <c r="E127" s="57"/>
      <c r="F127" s="57"/>
      <c r="G127" s="57">
        <f t="shared" si="0"/>
        <v>590090</v>
      </c>
      <c r="H127" s="58" t="str">
        <f t="shared" si="1"/>
        <v>CR</v>
      </c>
    </row>
    <row r="128" spans="1:8" x14ac:dyDescent="0.25">
      <c r="A128" s="60"/>
      <c r="B128" s="62"/>
      <c r="C128" s="62"/>
      <c r="D128" s="58"/>
      <c r="E128" s="57"/>
      <c r="F128" s="57"/>
      <c r="G128" s="57">
        <f t="shared" si="0"/>
        <v>590090</v>
      </c>
      <c r="H128" s="58" t="str">
        <f t="shared" si="1"/>
        <v>CR</v>
      </c>
    </row>
    <row r="129" spans="1:8" x14ac:dyDescent="0.25">
      <c r="A129" s="60"/>
      <c r="B129" s="62"/>
      <c r="C129" s="62"/>
      <c r="D129" s="58"/>
      <c r="E129" s="57"/>
      <c r="F129" s="57"/>
      <c r="G129" s="57">
        <f t="shared" si="0"/>
        <v>590090</v>
      </c>
      <c r="H129" s="58" t="str">
        <f t="shared" si="1"/>
        <v>CR</v>
      </c>
    </row>
    <row r="130" spans="1:8" x14ac:dyDescent="0.25">
      <c r="A130" s="60"/>
      <c r="B130" s="62"/>
      <c r="C130" s="62"/>
      <c r="D130" s="58"/>
      <c r="E130" s="57"/>
      <c r="F130" s="57"/>
      <c r="G130" s="57">
        <f t="shared" si="0"/>
        <v>590090</v>
      </c>
      <c r="H130" s="58" t="str">
        <f t="shared" si="1"/>
        <v>CR</v>
      </c>
    </row>
    <row r="131" spans="1:8" x14ac:dyDescent="0.25">
      <c r="A131" s="60"/>
      <c r="B131" s="62"/>
      <c r="C131" s="62"/>
      <c r="D131" s="58"/>
      <c r="E131" s="57"/>
      <c r="F131" s="57"/>
      <c r="G131" s="57">
        <f t="shared" si="0"/>
        <v>590090</v>
      </c>
      <c r="H131" s="58" t="str">
        <f t="shared" si="1"/>
        <v>CR</v>
      </c>
    </row>
    <row r="132" spans="1:8" ht="21" x14ac:dyDescent="0.35">
      <c r="A132" s="75"/>
      <c r="B132" s="76"/>
      <c r="C132" s="76"/>
      <c r="D132" s="76" t="s">
        <v>9</v>
      </c>
      <c r="E132" s="77">
        <f>SUM(E6:E131)</f>
        <v>1238700</v>
      </c>
      <c r="F132" s="77">
        <f>SUM(F6:F131)</f>
        <v>730250</v>
      </c>
      <c r="G132" s="79">
        <f>G5+F132-E132</f>
        <v>590090</v>
      </c>
      <c r="H132" s="76" t="str">
        <f t="shared" si="1"/>
        <v>CR</v>
      </c>
    </row>
  </sheetData>
  <mergeCells count="4">
    <mergeCell ref="A1:H1"/>
    <mergeCell ref="A2:H2"/>
    <mergeCell ref="A3:H3"/>
    <mergeCell ref="G4:H4"/>
  </mergeCells>
  <hyperlinks>
    <hyperlink ref="J2" location="'PAYABLES-2024'!A1" display="PAYABLE HOME" xr:uid="{FE8EA8E7-BAA5-443A-8782-C7388E4FC9E9}"/>
  </hyperlinks>
  <pageMargins left="0.7" right="0.7" top="0.75" bottom="0.75" header="0.3" footer="0.3"/>
  <pageSetup scale="63" orientation="portrait" r:id="rId1"/>
  <colBreaks count="1" manualBreakCount="1">
    <brk id="8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CC05-BB4D-4410-BFA7-10964BFEEC28}">
  <dimension ref="A1:L105"/>
  <sheetViews>
    <sheetView zoomScaleNormal="100" workbookViewId="0">
      <pane xSplit="1" ySplit="4" topLeftCell="B57" activePane="bottomRight" state="frozen"/>
      <selection pane="topRight" activeCell="B1" sqref="B1"/>
      <selection pane="bottomLeft" activeCell="A5" sqref="A5"/>
      <selection pane="bottomRight" activeCell="L2" sqref="L2"/>
    </sheetView>
  </sheetViews>
  <sheetFormatPr defaultRowHeight="15.75" x14ac:dyDescent="0.25"/>
  <cols>
    <col min="1" max="1" width="14.7109375" style="59" customWidth="1"/>
    <col min="2" max="2" width="14.140625" style="59" customWidth="1"/>
    <col min="3" max="3" width="15.28515625" style="59" customWidth="1"/>
    <col min="4" max="4" width="48.140625" style="59" bestFit="1" customWidth="1"/>
    <col min="5" max="5" width="4.85546875" style="59" bestFit="1" customWidth="1"/>
    <col min="6" max="6" width="6" style="59" bestFit="1" customWidth="1"/>
    <col min="7" max="7" width="9.140625" style="59"/>
    <col min="8" max="8" width="12.140625" style="59" customWidth="1"/>
    <col min="9" max="9" width="14.140625" style="70" customWidth="1"/>
    <col min="10" max="16384" width="9.140625" style="59"/>
  </cols>
  <sheetData>
    <row r="1" spans="1:12" x14ac:dyDescent="0.2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2" x14ac:dyDescent="0.25">
      <c r="A2" s="103" t="s">
        <v>786</v>
      </c>
      <c r="B2" s="103"/>
      <c r="C2" s="103"/>
      <c r="D2" s="103"/>
      <c r="E2" s="103"/>
      <c r="F2" s="103"/>
      <c r="G2" s="103"/>
      <c r="H2" s="103"/>
      <c r="I2" s="103"/>
      <c r="J2" s="103"/>
      <c r="L2" s="67" t="s">
        <v>670</v>
      </c>
    </row>
    <row r="3" spans="1:12" x14ac:dyDescent="0.25">
      <c r="A3" s="103" t="s">
        <v>769</v>
      </c>
      <c r="B3" s="103"/>
      <c r="C3" s="103"/>
      <c r="D3" s="103"/>
      <c r="E3" s="103"/>
      <c r="F3" s="103"/>
      <c r="G3" s="103"/>
      <c r="H3" s="103"/>
      <c r="I3" s="103"/>
      <c r="J3" s="103"/>
    </row>
    <row r="4" spans="1:12" x14ac:dyDescent="0.25">
      <c r="A4" s="63" t="s">
        <v>1</v>
      </c>
      <c r="B4" s="64" t="s">
        <v>2</v>
      </c>
      <c r="C4" s="64" t="s">
        <v>3</v>
      </c>
      <c r="D4" s="64" t="s">
        <v>4</v>
      </c>
      <c r="E4" s="64" t="s">
        <v>824</v>
      </c>
      <c r="F4" s="64" t="s">
        <v>825</v>
      </c>
      <c r="G4" s="65" t="s">
        <v>5</v>
      </c>
      <c r="H4" s="65" t="s">
        <v>6</v>
      </c>
      <c r="I4" s="106" t="s">
        <v>7</v>
      </c>
      <c r="J4" s="106"/>
    </row>
    <row r="5" spans="1:12" x14ac:dyDescent="0.25">
      <c r="A5" s="58"/>
      <c r="B5" s="58"/>
      <c r="C5" s="58"/>
      <c r="D5" s="66"/>
      <c r="E5" s="66"/>
      <c r="F5" s="66"/>
      <c r="G5" s="57"/>
      <c r="H5" s="57"/>
      <c r="I5" s="57">
        <v>0</v>
      </c>
      <c r="J5" s="58"/>
    </row>
    <row r="6" spans="1:12" x14ac:dyDescent="0.25">
      <c r="A6" s="60">
        <v>45590</v>
      </c>
      <c r="B6" s="61" t="s">
        <v>10</v>
      </c>
      <c r="C6" s="58"/>
      <c r="D6" s="58" t="s">
        <v>787</v>
      </c>
      <c r="E6" s="58">
        <v>1</v>
      </c>
      <c r="F6" s="58">
        <v>1580</v>
      </c>
      <c r="G6" s="57"/>
      <c r="H6" s="57">
        <f>E6*F6</f>
        <v>1580</v>
      </c>
      <c r="I6" s="57">
        <f>I5+H6-G6</f>
        <v>1580</v>
      </c>
      <c r="J6" s="58" t="str">
        <f>IF(I6=0,"NIL",IF(I6&gt;0,"CR","DR"))</f>
        <v>CR</v>
      </c>
    </row>
    <row r="7" spans="1:12" x14ac:dyDescent="0.25">
      <c r="A7" s="60">
        <v>45590</v>
      </c>
      <c r="B7" s="61" t="s">
        <v>10</v>
      </c>
      <c r="C7" s="58"/>
      <c r="D7" s="58" t="s">
        <v>788</v>
      </c>
      <c r="E7" s="58">
        <v>1</v>
      </c>
      <c r="F7" s="58">
        <v>3950</v>
      </c>
      <c r="G7" s="57"/>
      <c r="H7" s="57">
        <f t="shared" ref="H7:H70" si="0">E7*F7</f>
        <v>3950</v>
      </c>
      <c r="I7" s="57">
        <f t="shared" ref="I7:I70" si="1">I6+H7-G7</f>
        <v>5530</v>
      </c>
      <c r="J7" s="58" t="str">
        <f t="shared" ref="J7:J70" si="2">IF(I7=0,"NIL",IF(I7&gt;0,"CR","DR"))</f>
        <v>CR</v>
      </c>
    </row>
    <row r="8" spans="1:12" x14ac:dyDescent="0.25">
      <c r="A8" s="60">
        <v>45590</v>
      </c>
      <c r="B8" s="61" t="s">
        <v>10</v>
      </c>
      <c r="C8" s="58"/>
      <c r="D8" s="58" t="s">
        <v>789</v>
      </c>
      <c r="E8" s="58">
        <v>1</v>
      </c>
      <c r="F8" s="58">
        <v>4200</v>
      </c>
      <c r="G8" s="57"/>
      <c r="H8" s="57">
        <f t="shared" si="0"/>
        <v>4200</v>
      </c>
      <c r="I8" s="57">
        <f t="shared" si="1"/>
        <v>9730</v>
      </c>
      <c r="J8" s="58" t="str">
        <f t="shared" si="2"/>
        <v>CR</v>
      </c>
    </row>
    <row r="9" spans="1:12" x14ac:dyDescent="0.25">
      <c r="A9" s="60">
        <v>45590</v>
      </c>
      <c r="B9" s="61" t="s">
        <v>10</v>
      </c>
      <c r="C9" s="58"/>
      <c r="D9" s="58" t="s">
        <v>790</v>
      </c>
      <c r="E9" s="58">
        <v>2</v>
      </c>
      <c r="F9" s="58">
        <v>1580</v>
      </c>
      <c r="G9" s="57"/>
      <c r="H9" s="57">
        <f t="shared" si="0"/>
        <v>3160</v>
      </c>
      <c r="I9" s="57">
        <f t="shared" si="1"/>
        <v>12890</v>
      </c>
      <c r="J9" s="58" t="str">
        <f t="shared" si="2"/>
        <v>CR</v>
      </c>
    </row>
    <row r="10" spans="1:12" x14ac:dyDescent="0.25">
      <c r="A10" s="60">
        <v>45590</v>
      </c>
      <c r="B10" s="61" t="s">
        <v>10</v>
      </c>
      <c r="C10" s="58"/>
      <c r="D10" s="58" t="s">
        <v>791</v>
      </c>
      <c r="E10" s="58">
        <v>1</v>
      </c>
      <c r="F10" s="58">
        <v>1550</v>
      </c>
      <c r="G10" s="57"/>
      <c r="H10" s="57">
        <f t="shared" si="0"/>
        <v>1550</v>
      </c>
      <c r="I10" s="57">
        <f t="shared" si="1"/>
        <v>14440</v>
      </c>
      <c r="J10" s="58" t="str">
        <f t="shared" si="2"/>
        <v>CR</v>
      </c>
    </row>
    <row r="11" spans="1:12" x14ac:dyDescent="0.25">
      <c r="A11" s="60">
        <v>45590</v>
      </c>
      <c r="B11" s="61" t="s">
        <v>10</v>
      </c>
      <c r="C11" s="58"/>
      <c r="D11" s="58" t="s">
        <v>792</v>
      </c>
      <c r="E11" s="58">
        <v>2</v>
      </c>
      <c r="F11" s="58">
        <v>1650</v>
      </c>
      <c r="G11" s="57"/>
      <c r="H11" s="57">
        <f t="shared" si="0"/>
        <v>3300</v>
      </c>
      <c r="I11" s="57">
        <f t="shared" si="1"/>
        <v>17740</v>
      </c>
      <c r="J11" s="58" t="str">
        <f t="shared" si="2"/>
        <v>CR</v>
      </c>
    </row>
    <row r="12" spans="1:12" x14ac:dyDescent="0.25">
      <c r="A12" s="60">
        <v>45590</v>
      </c>
      <c r="B12" s="61" t="s">
        <v>10</v>
      </c>
      <c r="C12" s="58"/>
      <c r="D12" s="58" t="s">
        <v>793</v>
      </c>
      <c r="E12" s="58">
        <v>2</v>
      </c>
      <c r="F12" s="58">
        <v>1580</v>
      </c>
      <c r="G12" s="57"/>
      <c r="H12" s="57">
        <f t="shared" si="0"/>
        <v>3160</v>
      </c>
      <c r="I12" s="57">
        <f t="shared" si="1"/>
        <v>20900</v>
      </c>
      <c r="J12" s="58" t="str">
        <f t="shared" si="2"/>
        <v>CR</v>
      </c>
    </row>
    <row r="13" spans="1:12" x14ac:dyDescent="0.25">
      <c r="A13" s="60">
        <v>45590</v>
      </c>
      <c r="B13" s="61" t="s">
        <v>10</v>
      </c>
      <c r="C13" s="58"/>
      <c r="D13" s="58" t="s">
        <v>794</v>
      </c>
      <c r="E13" s="58">
        <v>1</v>
      </c>
      <c r="F13" s="58">
        <v>3800</v>
      </c>
      <c r="G13" s="57"/>
      <c r="H13" s="57">
        <f t="shared" si="0"/>
        <v>3800</v>
      </c>
      <c r="I13" s="57">
        <f>I12+H13-G13</f>
        <v>24700</v>
      </c>
      <c r="J13" s="58" t="str">
        <f t="shared" si="2"/>
        <v>CR</v>
      </c>
    </row>
    <row r="14" spans="1:12" x14ac:dyDescent="0.25">
      <c r="A14" s="60">
        <v>45590</v>
      </c>
      <c r="B14" s="61" t="s">
        <v>10</v>
      </c>
      <c r="C14" s="58"/>
      <c r="D14" s="58" t="s">
        <v>795</v>
      </c>
      <c r="E14" s="58">
        <v>2</v>
      </c>
      <c r="F14" s="58">
        <v>3800</v>
      </c>
      <c r="G14" s="57"/>
      <c r="H14" s="57">
        <f t="shared" si="0"/>
        <v>7600</v>
      </c>
      <c r="I14" s="57">
        <f>I13+H14-G14</f>
        <v>32300</v>
      </c>
      <c r="J14" s="58" t="str">
        <f t="shared" si="2"/>
        <v>CR</v>
      </c>
    </row>
    <row r="15" spans="1:12" x14ac:dyDescent="0.25">
      <c r="A15" s="60">
        <v>45590</v>
      </c>
      <c r="B15" s="61" t="s">
        <v>10</v>
      </c>
      <c r="C15" s="58"/>
      <c r="D15" s="58" t="s">
        <v>796</v>
      </c>
      <c r="E15" s="58">
        <v>1</v>
      </c>
      <c r="F15" s="58">
        <v>2250</v>
      </c>
      <c r="G15" s="57"/>
      <c r="H15" s="57">
        <f t="shared" si="0"/>
        <v>2250</v>
      </c>
      <c r="I15" s="57">
        <f t="shared" si="1"/>
        <v>34550</v>
      </c>
      <c r="J15" s="58" t="str">
        <f t="shared" si="2"/>
        <v>CR</v>
      </c>
    </row>
    <row r="16" spans="1:12" x14ac:dyDescent="0.25">
      <c r="A16" s="60">
        <v>45590</v>
      </c>
      <c r="B16" s="61" t="s">
        <v>10</v>
      </c>
      <c r="C16" s="58"/>
      <c r="D16" s="58" t="s">
        <v>797</v>
      </c>
      <c r="E16" s="58">
        <v>2</v>
      </c>
      <c r="F16" s="58">
        <v>2180</v>
      </c>
      <c r="G16" s="57"/>
      <c r="H16" s="57">
        <f t="shared" si="0"/>
        <v>4360</v>
      </c>
      <c r="I16" s="57">
        <f t="shared" si="1"/>
        <v>38910</v>
      </c>
      <c r="J16" s="58" t="str">
        <f t="shared" si="2"/>
        <v>CR</v>
      </c>
    </row>
    <row r="17" spans="1:11" x14ac:dyDescent="0.25">
      <c r="A17" s="60">
        <v>45590</v>
      </c>
      <c r="B17" s="61" t="s">
        <v>10</v>
      </c>
      <c r="C17" s="58"/>
      <c r="D17" s="58" t="s">
        <v>798</v>
      </c>
      <c r="E17" s="58">
        <v>1</v>
      </c>
      <c r="F17" s="58">
        <v>1750</v>
      </c>
      <c r="G17" s="57"/>
      <c r="H17" s="57">
        <f t="shared" si="0"/>
        <v>1750</v>
      </c>
      <c r="I17" s="57">
        <f t="shared" si="1"/>
        <v>40660</v>
      </c>
      <c r="J17" s="58" t="str">
        <f t="shared" si="2"/>
        <v>CR</v>
      </c>
    </row>
    <row r="18" spans="1:11" x14ac:dyDescent="0.25">
      <c r="A18" s="60">
        <v>45590</v>
      </c>
      <c r="B18" s="61" t="s">
        <v>10</v>
      </c>
      <c r="C18" s="58"/>
      <c r="D18" s="58" t="s">
        <v>799</v>
      </c>
      <c r="E18" s="58">
        <v>2</v>
      </c>
      <c r="F18" s="58">
        <v>1550</v>
      </c>
      <c r="G18" s="57"/>
      <c r="H18" s="57">
        <f t="shared" si="0"/>
        <v>3100</v>
      </c>
      <c r="I18" s="57">
        <f t="shared" si="1"/>
        <v>43760</v>
      </c>
      <c r="J18" s="58" t="str">
        <f t="shared" si="2"/>
        <v>CR</v>
      </c>
    </row>
    <row r="19" spans="1:11" x14ac:dyDescent="0.25">
      <c r="A19" s="60">
        <v>45590</v>
      </c>
      <c r="B19" s="61" t="s">
        <v>10</v>
      </c>
      <c r="C19" s="61"/>
      <c r="D19" s="58" t="s">
        <v>800</v>
      </c>
      <c r="E19" s="58">
        <v>1</v>
      </c>
      <c r="F19" s="58">
        <v>1600</v>
      </c>
      <c r="G19" s="57"/>
      <c r="H19" s="57">
        <f t="shared" si="0"/>
        <v>1600</v>
      </c>
      <c r="I19" s="57">
        <f t="shared" si="1"/>
        <v>45360</v>
      </c>
      <c r="J19" s="58" t="str">
        <f t="shared" si="2"/>
        <v>CR</v>
      </c>
    </row>
    <row r="20" spans="1:11" x14ac:dyDescent="0.25">
      <c r="A20" s="60">
        <v>45590</v>
      </c>
      <c r="B20" s="61" t="s">
        <v>10</v>
      </c>
      <c r="C20" s="61"/>
      <c r="D20" s="58" t="s">
        <v>801</v>
      </c>
      <c r="E20" s="58">
        <v>2</v>
      </c>
      <c r="F20" s="58">
        <v>2600</v>
      </c>
      <c r="G20" s="57"/>
      <c r="H20" s="57">
        <f t="shared" si="0"/>
        <v>5200</v>
      </c>
      <c r="I20" s="57">
        <f t="shared" si="1"/>
        <v>50560</v>
      </c>
      <c r="J20" s="58" t="str">
        <f t="shared" si="2"/>
        <v>CR</v>
      </c>
    </row>
    <row r="21" spans="1:11" x14ac:dyDescent="0.25">
      <c r="A21" s="60">
        <v>45590</v>
      </c>
      <c r="B21" s="61" t="s">
        <v>10</v>
      </c>
      <c r="C21" s="58"/>
      <c r="D21" s="58" t="s">
        <v>802</v>
      </c>
      <c r="E21" s="58">
        <v>2</v>
      </c>
      <c r="F21" s="58">
        <v>2500</v>
      </c>
      <c r="G21" s="57"/>
      <c r="H21" s="57">
        <f t="shared" si="0"/>
        <v>5000</v>
      </c>
      <c r="I21" s="57">
        <f t="shared" si="1"/>
        <v>55560</v>
      </c>
      <c r="J21" s="58" t="str">
        <f t="shared" si="2"/>
        <v>CR</v>
      </c>
    </row>
    <row r="22" spans="1:11" x14ac:dyDescent="0.25">
      <c r="A22" s="60">
        <v>45590</v>
      </c>
      <c r="B22" s="61" t="s">
        <v>10</v>
      </c>
      <c r="C22" s="58"/>
      <c r="D22" s="58" t="s">
        <v>803</v>
      </c>
      <c r="E22" s="58">
        <v>1</v>
      </c>
      <c r="F22" s="58">
        <v>7200</v>
      </c>
      <c r="G22" s="57"/>
      <c r="H22" s="57">
        <f t="shared" si="0"/>
        <v>7200</v>
      </c>
      <c r="I22" s="57">
        <f t="shared" si="1"/>
        <v>62760</v>
      </c>
      <c r="J22" s="58" t="str">
        <f t="shared" si="2"/>
        <v>CR</v>
      </c>
    </row>
    <row r="23" spans="1:11" x14ac:dyDescent="0.25">
      <c r="A23" s="60">
        <v>45590</v>
      </c>
      <c r="B23" s="61" t="s">
        <v>10</v>
      </c>
      <c r="C23" s="58"/>
      <c r="D23" s="58" t="s">
        <v>804</v>
      </c>
      <c r="E23" s="58">
        <v>1</v>
      </c>
      <c r="F23" s="58">
        <v>1280</v>
      </c>
      <c r="G23" s="57"/>
      <c r="H23" s="57">
        <f t="shared" si="0"/>
        <v>1280</v>
      </c>
      <c r="I23" s="57">
        <f t="shared" si="1"/>
        <v>64040</v>
      </c>
      <c r="J23" s="58" t="str">
        <f t="shared" si="2"/>
        <v>CR</v>
      </c>
    </row>
    <row r="24" spans="1:11" x14ac:dyDescent="0.25">
      <c r="A24" s="60">
        <v>45590</v>
      </c>
      <c r="B24" s="61" t="s">
        <v>10</v>
      </c>
      <c r="C24" s="62"/>
      <c r="D24" s="58" t="s">
        <v>805</v>
      </c>
      <c r="E24" s="58">
        <v>4</v>
      </c>
      <c r="F24" s="58">
        <v>1180</v>
      </c>
      <c r="G24" s="57"/>
      <c r="H24" s="57">
        <f t="shared" si="0"/>
        <v>4720</v>
      </c>
      <c r="I24" s="57">
        <f t="shared" si="1"/>
        <v>68760</v>
      </c>
      <c r="J24" s="58" t="str">
        <f t="shared" si="2"/>
        <v>CR</v>
      </c>
      <c r="K24" s="59">
        <v>1</v>
      </c>
    </row>
    <row r="25" spans="1:11" x14ac:dyDescent="0.25">
      <c r="A25" s="60">
        <v>45590</v>
      </c>
      <c r="B25" s="61" t="s">
        <v>10</v>
      </c>
      <c r="C25" s="58"/>
      <c r="D25" s="58" t="s">
        <v>806</v>
      </c>
      <c r="E25" s="58">
        <v>2</v>
      </c>
      <c r="F25" s="58">
        <v>2950</v>
      </c>
      <c r="G25" s="57"/>
      <c r="H25" s="57">
        <f t="shared" si="0"/>
        <v>5900</v>
      </c>
      <c r="I25" s="57">
        <f t="shared" si="1"/>
        <v>74660</v>
      </c>
      <c r="J25" s="58" t="str">
        <f t="shared" si="2"/>
        <v>CR</v>
      </c>
    </row>
    <row r="26" spans="1:11" x14ac:dyDescent="0.25">
      <c r="A26" s="60">
        <v>45590</v>
      </c>
      <c r="B26" s="61" t="s">
        <v>10</v>
      </c>
      <c r="C26" s="58"/>
      <c r="D26" s="58" t="s">
        <v>807</v>
      </c>
      <c r="E26" s="58">
        <v>2</v>
      </c>
      <c r="F26" s="58">
        <v>2200</v>
      </c>
      <c r="G26" s="57"/>
      <c r="H26" s="57">
        <f t="shared" si="0"/>
        <v>4400</v>
      </c>
      <c r="I26" s="57">
        <f t="shared" si="1"/>
        <v>79060</v>
      </c>
      <c r="J26" s="58" t="str">
        <f t="shared" si="2"/>
        <v>CR</v>
      </c>
    </row>
    <row r="27" spans="1:11" x14ac:dyDescent="0.25">
      <c r="A27" s="60">
        <v>45590</v>
      </c>
      <c r="B27" s="61" t="s">
        <v>10</v>
      </c>
      <c r="C27" s="58"/>
      <c r="D27" s="58" t="s">
        <v>808</v>
      </c>
      <c r="E27" s="58">
        <v>2</v>
      </c>
      <c r="F27" s="58">
        <v>1550</v>
      </c>
      <c r="G27" s="57"/>
      <c r="H27" s="57">
        <f t="shared" si="0"/>
        <v>3100</v>
      </c>
      <c r="I27" s="57">
        <f t="shared" si="1"/>
        <v>82160</v>
      </c>
      <c r="J27" s="58" t="str">
        <f t="shared" si="2"/>
        <v>CR</v>
      </c>
    </row>
    <row r="28" spans="1:11" x14ac:dyDescent="0.25">
      <c r="A28" s="60">
        <v>45590</v>
      </c>
      <c r="B28" s="61" t="s">
        <v>10</v>
      </c>
      <c r="C28" s="62"/>
      <c r="D28" s="58" t="s">
        <v>809</v>
      </c>
      <c r="E28" s="58">
        <v>4</v>
      </c>
      <c r="F28" s="58">
        <v>1050</v>
      </c>
      <c r="G28" s="57"/>
      <c r="H28" s="57">
        <f t="shared" si="0"/>
        <v>4200</v>
      </c>
      <c r="I28" s="57">
        <f t="shared" si="1"/>
        <v>86360</v>
      </c>
      <c r="J28" s="58" t="str">
        <f t="shared" si="2"/>
        <v>CR</v>
      </c>
    </row>
    <row r="29" spans="1:11" x14ac:dyDescent="0.25">
      <c r="A29" s="60">
        <v>45590</v>
      </c>
      <c r="B29" s="61" t="s">
        <v>10</v>
      </c>
      <c r="C29" s="58"/>
      <c r="D29" s="58" t="s">
        <v>810</v>
      </c>
      <c r="E29" s="58">
        <v>2</v>
      </c>
      <c r="F29" s="58">
        <v>1600</v>
      </c>
      <c r="G29" s="57"/>
      <c r="H29" s="57">
        <f t="shared" si="0"/>
        <v>3200</v>
      </c>
      <c r="I29" s="57">
        <f t="shared" si="1"/>
        <v>89560</v>
      </c>
      <c r="J29" s="58" t="str">
        <f t="shared" si="2"/>
        <v>CR</v>
      </c>
    </row>
    <row r="30" spans="1:11" x14ac:dyDescent="0.25">
      <c r="A30" s="60">
        <v>45590</v>
      </c>
      <c r="B30" s="61" t="s">
        <v>10</v>
      </c>
      <c r="C30" s="62"/>
      <c r="D30" s="58" t="s">
        <v>811</v>
      </c>
      <c r="E30" s="58">
        <v>2</v>
      </c>
      <c r="F30" s="58">
        <v>1850</v>
      </c>
      <c r="G30" s="57"/>
      <c r="H30" s="57">
        <f t="shared" si="0"/>
        <v>3700</v>
      </c>
      <c r="I30" s="57">
        <f t="shared" si="1"/>
        <v>93260</v>
      </c>
      <c r="J30" s="58" t="str">
        <f t="shared" si="2"/>
        <v>CR</v>
      </c>
    </row>
    <row r="31" spans="1:11" x14ac:dyDescent="0.25">
      <c r="A31" s="60">
        <v>45590</v>
      </c>
      <c r="B31" s="61" t="s">
        <v>10</v>
      </c>
      <c r="C31" s="58"/>
      <c r="D31" s="58" t="s">
        <v>812</v>
      </c>
      <c r="E31" s="58">
        <v>2</v>
      </c>
      <c r="F31" s="58">
        <v>1550</v>
      </c>
      <c r="G31" s="57"/>
      <c r="H31" s="57">
        <f t="shared" si="0"/>
        <v>3100</v>
      </c>
      <c r="I31" s="57">
        <f t="shared" si="1"/>
        <v>96360</v>
      </c>
      <c r="J31" s="58" t="str">
        <f t="shared" si="2"/>
        <v>CR</v>
      </c>
    </row>
    <row r="32" spans="1:11" x14ac:dyDescent="0.25">
      <c r="A32" s="60">
        <v>45590</v>
      </c>
      <c r="B32" s="61" t="s">
        <v>10</v>
      </c>
      <c r="C32" s="62"/>
      <c r="D32" s="58" t="s">
        <v>813</v>
      </c>
      <c r="E32" s="58">
        <v>1</v>
      </c>
      <c r="F32" s="58">
        <v>2200</v>
      </c>
      <c r="G32" s="57"/>
      <c r="H32" s="57">
        <f t="shared" si="0"/>
        <v>2200</v>
      </c>
      <c r="I32" s="57">
        <f t="shared" si="1"/>
        <v>98560</v>
      </c>
      <c r="J32" s="58" t="str">
        <f t="shared" si="2"/>
        <v>CR</v>
      </c>
    </row>
    <row r="33" spans="1:10" x14ac:dyDescent="0.25">
      <c r="A33" s="60">
        <v>45590</v>
      </c>
      <c r="B33" s="61" t="s">
        <v>10</v>
      </c>
      <c r="C33" s="58"/>
      <c r="D33" s="58" t="s">
        <v>814</v>
      </c>
      <c r="E33" s="58">
        <v>1</v>
      </c>
      <c r="F33" s="58">
        <v>2050</v>
      </c>
      <c r="G33" s="57"/>
      <c r="H33" s="57">
        <f t="shared" si="0"/>
        <v>2050</v>
      </c>
      <c r="I33" s="57">
        <f t="shared" si="1"/>
        <v>100610</v>
      </c>
      <c r="J33" s="58" t="str">
        <f t="shared" si="2"/>
        <v>CR</v>
      </c>
    </row>
    <row r="34" spans="1:10" x14ac:dyDescent="0.25">
      <c r="A34" s="60">
        <v>45590</v>
      </c>
      <c r="B34" s="61" t="s">
        <v>10</v>
      </c>
      <c r="C34" s="58"/>
      <c r="D34" s="58" t="s">
        <v>815</v>
      </c>
      <c r="E34" s="58">
        <v>1</v>
      </c>
      <c r="F34" s="58">
        <v>1850</v>
      </c>
      <c r="G34" s="57"/>
      <c r="H34" s="57">
        <f t="shared" si="0"/>
        <v>1850</v>
      </c>
      <c r="I34" s="57">
        <f t="shared" si="1"/>
        <v>102460</v>
      </c>
      <c r="J34" s="58" t="str">
        <f t="shared" si="2"/>
        <v>CR</v>
      </c>
    </row>
    <row r="35" spans="1:10" x14ac:dyDescent="0.25">
      <c r="A35" s="60">
        <v>45590</v>
      </c>
      <c r="B35" s="61" t="s">
        <v>10</v>
      </c>
      <c r="C35" s="58"/>
      <c r="D35" s="58" t="s">
        <v>816</v>
      </c>
      <c r="E35" s="58">
        <v>1</v>
      </c>
      <c r="F35" s="58">
        <v>6400</v>
      </c>
      <c r="G35" s="58"/>
      <c r="H35" s="57">
        <f t="shared" si="0"/>
        <v>6400</v>
      </c>
      <c r="I35" s="57">
        <f t="shared" si="1"/>
        <v>108860</v>
      </c>
      <c r="J35" s="58" t="str">
        <f t="shared" si="2"/>
        <v>CR</v>
      </c>
    </row>
    <row r="36" spans="1:10" x14ac:dyDescent="0.25">
      <c r="A36" s="60">
        <v>45590</v>
      </c>
      <c r="B36" s="61" t="s">
        <v>10</v>
      </c>
      <c r="C36" s="58"/>
      <c r="D36" s="58" t="s">
        <v>817</v>
      </c>
      <c r="E36" s="58">
        <v>3</v>
      </c>
      <c r="F36" s="58">
        <v>365</v>
      </c>
      <c r="G36" s="58"/>
      <c r="H36" s="57">
        <f t="shared" si="0"/>
        <v>1095</v>
      </c>
      <c r="I36" s="57">
        <f t="shared" si="1"/>
        <v>109955</v>
      </c>
      <c r="J36" s="58" t="str">
        <f t="shared" si="2"/>
        <v>CR</v>
      </c>
    </row>
    <row r="37" spans="1:10" x14ac:dyDescent="0.25">
      <c r="A37" s="60">
        <v>45590</v>
      </c>
      <c r="B37" s="61" t="s">
        <v>10</v>
      </c>
      <c r="C37" s="58"/>
      <c r="D37" s="58" t="s">
        <v>818</v>
      </c>
      <c r="E37" s="58">
        <v>1</v>
      </c>
      <c r="F37" s="58">
        <v>1680</v>
      </c>
      <c r="G37" s="58"/>
      <c r="H37" s="57">
        <f t="shared" si="0"/>
        <v>1680</v>
      </c>
      <c r="I37" s="57">
        <f t="shared" si="1"/>
        <v>111635</v>
      </c>
      <c r="J37" s="58" t="str">
        <f t="shared" si="2"/>
        <v>CR</v>
      </c>
    </row>
    <row r="38" spans="1:10" x14ac:dyDescent="0.25">
      <c r="A38" s="60">
        <v>45590</v>
      </c>
      <c r="B38" s="61" t="s">
        <v>10</v>
      </c>
      <c r="C38" s="58"/>
      <c r="D38" s="58" t="s">
        <v>819</v>
      </c>
      <c r="E38" s="58">
        <v>1</v>
      </c>
      <c r="F38" s="58">
        <v>1650</v>
      </c>
      <c r="G38" s="58"/>
      <c r="H38" s="57">
        <f t="shared" si="0"/>
        <v>1650</v>
      </c>
      <c r="I38" s="57">
        <f t="shared" si="1"/>
        <v>113285</v>
      </c>
      <c r="J38" s="58" t="str">
        <f t="shared" si="2"/>
        <v>CR</v>
      </c>
    </row>
    <row r="39" spans="1:10" x14ac:dyDescent="0.25">
      <c r="A39" s="60">
        <v>45590</v>
      </c>
      <c r="B39" s="61" t="s">
        <v>10</v>
      </c>
      <c r="C39" s="58"/>
      <c r="D39" s="58" t="s">
        <v>820</v>
      </c>
      <c r="E39" s="58">
        <v>2</v>
      </c>
      <c r="F39" s="58">
        <v>1550</v>
      </c>
      <c r="G39" s="58"/>
      <c r="H39" s="57">
        <f t="shared" si="0"/>
        <v>3100</v>
      </c>
      <c r="I39" s="57">
        <f t="shared" si="1"/>
        <v>116385</v>
      </c>
      <c r="J39" s="58" t="str">
        <f t="shared" si="2"/>
        <v>CR</v>
      </c>
    </row>
    <row r="40" spans="1:10" x14ac:dyDescent="0.25">
      <c r="A40" s="60">
        <v>45590</v>
      </c>
      <c r="B40" s="61" t="s">
        <v>10</v>
      </c>
      <c r="C40" s="58"/>
      <c r="D40" s="58" t="s">
        <v>821</v>
      </c>
      <c r="E40" s="58">
        <v>2</v>
      </c>
      <c r="F40" s="58">
        <v>580</v>
      </c>
      <c r="G40" s="58"/>
      <c r="H40" s="57">
        <f t="shared" si="0"/>
        <v>1160</v>
      </c>
      <c r="I40" s="57">
        <f t="shared" si="1"/>
        <v>117545</v>
      </c>
      <c r="J40" s="58" t="str">
        <f t="shared" si="2"/>
        <v>CR</v>
      </c>
    </row>
    <row r="41" spans="1:10" x14ac:dyDescent="0.25">
      <c r="A41" s="60">
        <v>45590</v>
      </c>
      <c r="B41" s="61" t="s">
        <v>10</v>
      </c>
      <c r="C41" s="58"/>
      <c r="D41" s="58" t="s">
        <v>822</v>
      </c>
      <c r="E41" s="58">
        <v>1</v>
      </c>
      <c r="F41" s="58">
        <v>1080</v>
      </c>
      <c r="G41" s="58"/>
      <c r="H41" s="57">
        <f t="shared" si="0"/>
        <v>1080</v>
      </c>
      <c r="I41" s="57">
        <f t="shared" si="1"/>
        <v>118625</v>
      </c>
      <c r="J41" s="58" t="str">
        <f t="shared" si="2"/>
        <v>CR</v>
      </c>
    </row>
    <row r="42" spans="1:10" x14ac:dyDescent="0.25">
      <c r="A42" s="60">
        <v>45590</v>
      </c>
      <c r="B42" s="61" t="s">
        <v>10</v>
      </c>
      <c r="C42" s="58"/>
      <c r="D42" s="58" t="s">
        <v>823</v>
      </c>
      <c r="E42" s="58">
        <v>1</v>
      </c>
      <c r="F42" s="58">
        <v>2800</v>
      </c>
      <c r="G42" s="58"/>
      <c r="H42" s="57">
        <f t="shared" si="0"/>
        <v>2800</v>
      </c>
      <c r="I42" s="57">
        <f t="shared" si="1"/>
        <v>121425</v>
      </c>
      <c r="J42" s="58" t="str">
        <f t="shared" si="2"/>
        <v>CR</v>
      </c>
    </row>
    <row r="43" spans="1:10" x14ac:dyDescent="0.25">
      <c r="A43" s="60">
        <v>45607</v>
      </c>
      <c r="B43" s="58" t="s">
        <v>8</v>
      </c>
      <c r="C43" s="58"/>
      <c r="D43" s="80" t="s">
        <v>839</v>
      </c>
      <c r="E43" s="58">
        <v>2</v>
      </c>
      <c r="F43" s="58"/>
      <c r="G43" s="80">
        <v>1550</v>
      </c>
      <c r="H43" s="57">
        <f t="shared" si="0"/>
        <v>0</v>
      </c>
      <c r="I43" s="57">
        <f t="shared" si="1"/>
        <v>119875</v>
      </c>
      <c r="J43" s="58" t="str">
        <f t="shared" si="2"/>
        <v>CR</v>
      </c>
    </row>
    <row r="44" spans="1:10" x14ac:dyDescent="0.25">
      <c r="A44" s="60">
        <v>45605</v>
      </c>
      <c r="B44" s="61" t="s">
        <v>10</v>
      </c>
      <c r="C44" s="58"/>
      <c r="D44" s="58" t="s">
        <v>844</v>
      </c>
      <c r="E44" s="58">
        <v>1</v>
      </c>
      <c r="F44" s="58">
        <v>1450</v>
      </c>
      <c r="G44" s="58"/>
      <c r="H44" s="57">
        <f t="shared" si="0"/>
        <v>1450</v>
      </c>
      <c r="I44" s="57">
        <f t="shared" si="1"/>
        <v>121325</v>
      </c>
      <c r="J44" s="58" t="str">
        <f t="shared" si="2"/>
        <v>CR</v>
      </c>
    </row>
    <row r="45" spans="1:10" x14ac:dyDescent="0.25">
      <c r="A45" s="60">
        <v>45605</v>
      </c>
      <c r="B45" s="61" t="s">
        <v>10</v>
      </c>
      <c r="C45" s="58"/>
      <c r="D45" s="58" t="s">
        <v>845</v>
      </c>
      <c r="E45" s="58">
        <v>1</v>
      </c>
      <c r="F45" s="58">
        <v>1360</v>
      </c>
      <c r="G45" s="58"/>
      <c r="H45" s="57">
        <f t="shared" si="0"/>
        <v>1360</v>
      </c>
      <c r="I45" s="57">
        <f t="shared" si="1"/>
        <v>122685</v>
      </c>
      <c r="J45" s="58" t="str">
        <f t="shared" si="2"/>
        <v>CR</v>
      </c>
    </row>
    <row r="46" spans="1:10" x14ac:dyDescent="0.25">
      <c r="A46" s="60">
        <v>45605</v>
      </c>
      <c r="B46" s="61" t="s">
        <v>10</v>
      </c>
      <c r="C46" s="58"/>
      <c r="D46" s="58" t="s">
        <v>846</v>
      </c>
      <c r="E46" s="58">
        <v>1</v>
      </c>
      <c r="F46" s="58">
        <v>2180</v>
      </c>
      <c r="G46" s="58"/>
      <c r="H46" s="57">
        <f t="shared" si="0"/>
        <v>2180</v>
      </c>
      <c r="I46" s="57">
        <f t="shared" si="1"/>
        <v>124865</v>
      </c>
      <c r="J46" s="58" t="str">
        <f t="shared" si="2"/>
        <v>CR</v>
      </c>
    </row>
    <row r="47" spans="1:10" x14ac:dyDescent="0.25">
      <c r="A47" s="60">
        <v>45610</v>
      </c>
      <c r="B47" s="61" t="s">
        <v>10</v>
      </c>
      <c r="C47" s="58"/>
      <c r="D47" s="58" t="s">
        <v>847</v>
      </c>
      <c r="E47" s="58">
        <v>2</v>
      </c>
      <c r="F47" s="58">
        <v>2800</v>
      </c>
      <c r="G47" s="58"/>
      <c r="H47" s="57">
        <f t="shared" si="0"/>
        <v>5600</v>
      </c>
      <c r="I47" s="57">
        <f t="shared" si="1"/>
        <v>130465</v>
      </c>
      <c r="J47" s="58" t="str">
        <f t="shared" si="2"/>
        <v>CR</v>
      </c>
    </row>
    <row r="48" spans="1:10" x14ac:dyDescent="0.25">
      <c r="A48" s="60">
        <v>45611</v>
      </c>
      <c r="B48" s="58" t="s">
        <v>8</v>
      </c>
      <c r="C48" s="58"/>
      <c r="D48" s="80" t="s">
        <v>848</v>
      </c>
      <c r="E48" s="58">
        <v>2</v>
      </c>
      <c r="F48" s="58"/>
      <c r="G48" s="80">
        <v>5600</v>
      </c>
      <c r="H48" s="57">
        <f t="shared" si="0"/>
        <v>0</v>
      </c>
      <c r="I48" s="57">
        <f t="shared" si="1"/>
        <v>124865</v>
      </c>
      <c r="J48" s="58" t="str">
        <f t="shared" si="2"/>
        <v>CR</v>
      </c>
    </row>
    <row r="49" spans="1:10" x14ac:dyDescent="0.25">
      <c r="A49" s="60">
        <v>45642</v>
      </c>
      <c r="B49" s="58" t="s">
        <v>8</v>
      </c>
      <c r="C49" s="58"/>
      <c r="D49" s="58" t="s">
        <v>871</v>
      </c>
      <c r="E49" s="58">
        <v>3</v>
      </c>
      <c r="F49" s="58"/>
      <c r="G49" s="58">
        <v>5110</v>
      </c>
      <c r="H49" s="57">
        <f t="shared" si="0"/>
        <v>0</v>
      </c>
      <c r="I49" s="57">
        <f t="shared" si="1"/>
        <v>119755</v>
      </c>
      <c r="J49" s="58" t="str">
        <f t="shared" si="2"/>
        <v>CR</v>
      </c>
    </row>
    <row r="50" spans="1:10" x14ac:dyDescent="0.25">
      <c r="A50" s="60">
        <v>45642</v>
      </c>
      <c r="B50" s="58" t="s">
        <v>872</v>
      </c>
      <c r="C50" s="58" t="s">
        <v>872</v>
      </c>
      <c r="D50" s="58" t="s">
        <v>847</v>
      </c>
      <c r="E50" s="58">
        <v>1</v>
      </c>
      <c r="F50" s="58"/>
      <c r="G50" s="58">
        <v>2800</v>
      </c>
      <c r="H50" s="57">
        <f t="shared" si="0"/>
        <v>0</v>
      </c>
      <c r="I50" s="57">
        <f t="shared" si="1"/>
        <v>116955</v>
      </c>
      <c r="J50" s="58" t="str">
        <f t="shared" si="2"/>
        <v>CR</v>
      </c>
    </row>
    <row r="51" spans="1:10" x14ac:dyDescent="0.25">
      <c r="A51" s="60">
        <v>45660</v>
      </c>
      <c r="B51" s="58" t="s">
        <v>872</v>
      </c>
      <c r="C51" s="58" t="s">
        <v>872</v>
      </c>
      <c r="D51" s="58" t="s">
        <v>804</v>
      </c>
      <c r="E51" s="58">
        <v>1</v>
      </c>
      <c r="F51" s="58"/>
      <c r="G51" s="58">
        <v>1280</v>
      </c>
      <c r="H51" s="57">
        <f t="shared" si="0"/>
        <v>0</v>
      </c>
      <c r="I51" s="57">
        <f t="shared" si="1"/>
        <v>115675</v>
      </c>
      <c r="J51" s="58" t="str">
        <f t="shared" si="2"/>
        <v>CR</v>
      </c>
    </row>
    <row r="52" spans="1:10" x14ac:dyDescent="0.25">
      <c r="A52" s="60">
        <v>45667</v>
      </c>
      <c r="B52" s="58" t="s">
        <v>8</v>
      </c>
      <c r="C52" s="58"/>
      <c r="D52" s="58" t="s">
        <v>871</v>
      </c>
      <c r="E52" s="58"/>
      <c r="F52" s="58"/>
      <c r="G52" s="58">
        <v>6800</v>
      </c>
      <c r="H52" s="57">
        <f t="shared" si="0"/>
        <v>0</v>
      </c>
      <c r="I52" s="57">
        <f t="shared" si="1"/>
        <v>108875</v>
      </c>
      <c r="J52" s="58" t="str">
        <f t="shared" si="2"/>
        <v>CR</v>
      </c>
    </row>
    <row r="53" spans="1:10" x14ac:dyDescent="0.25">
      <c r="A53" s="60">
        <v>45681</v>
      </c>
      <c r="B53" s="58" t="s">
        <v>872</v>
      </c>
      <c r="C53" s="58" t="s">
        <v>872</v>
      </c>
      <c r="D53" s="58" t="s">
        <v>892</v>
      </c>
      <c r="E53" s="58">
        <v>2</v>
      </c>
      <c r="F53" s="58"/>
      <c r="G53" s="58">
        <v>8300</v>
      </c>
      <c r="H53" s="57">
        <f t="shared" si="0"/>
        <v>0</v>
      </c>
      <c r="I53" s="57">
        <f t="shared" si="1"/>
        <v>100575</v>
      </c>
      <c r="J53" s="58" t="str">
        <f t="shared" si="2"/>
        <v>CR</v>
      </c>
    </row>
    <row r="54" spans="1:10" x14ac:dyDescent="0.25">
      <c r="A54" s="60">
        <v>45708</v>
      </c>
      <c r="B54" s="58" t="s">
        <v>8</v>
      </c>
      <c r="C54" s="58"/>
      <c r="D54" s="58" t="s">
        <v>871</v>
      </c>
      <c r="E54" s="58"/>
      <c r="F54" s="58"/>
      <c r="G54" s="58">
        <v>5860</v>
      </c>
      <c r="H54" s="57">
        <f t="shared" si="0"/>
        <v>0</v>
      </c>
      <c r="I54" s="57">
        <f t="shared" si="1"/>
        <v>94715</v>
      </c>
      <c r="J54" s="58" t="str">
        <f t="shared" si="2"/>
        <v>CR</v>
      </c>
    </row>
    <row r="55" spans="1:10" x14ac:dyDescent="0.25">
      <c r="A55" s="60">
        <v>45732</v>
      </c>
      <c r="B55" s="58" t="s">
        <v>8</v>
      </c>
      <c r="C55" s="58"/>
      <c r="D55" s="58" t="s">
        <v>794</v>
      </c>
      <c r="E55" s="58">
        <v>1</v>
      </c>
      <c r="F55" s="58"/>
      <c r="G55" s="58">
        <v>3800</v>
      </c>
      <c r="H55" s="57">
        <f t="shared" si="0"/>
        <v>0</v>
      </c>
      <c r="I55" s="57">
        <f t="shared" si="1"/>
        <v>90915</v>
      </c>
      <c r="J55" s="58" t="str">
        <f t="shared" si="2"/>
        <v>CR</v>
      </c>
    </row>
    <row r="56" spans="1:10" x14ac:dyDescent="0.25">
      <c r="A56" s="60">
        <v>45732</v>
      </c>
      <c r="B56" s="58" t="s">
        <v>8</v>
      </c>
      <c r="C56" s="58"/>
      <c r="D56" s="58" t="s">
        <v>800</v>
      </c>
      <c r="E56" s="58"/>
      <c r="F56" s="58"/>
      <c r="G56" s="58">
        <v>1600</v>
      </c>
      <c r="H56" s="57">
        <f t="shared" si="0"/>
        <v>0</v>
      </c>
      <c r="I56" s="57">
        <f t="shared" si="1"/>
        <v>89315</v>
      </c>
      <c r="J56" s="58" t="str">
        <f t="shared" si="2"/>
        <v>CR</v>
      </c>
    </row>
    <row r="57" spans="1:10" x14ac:dyDescent="0.25">
      <c r="A57" s="60">
        <v>45732</v>
      </c>
      <c r="B57" s="58" t="s">
        <v>8</v>
      </c>
      <c r="C57" s="58"/>
      <c r="D57" s="58" t="s">
        <v>801</v>
      </c>
      <c r="E57" s="58">
        <v>1</v>
      </c>
      <c r="F57" s="58"/>
      <c r="G57" s="58">
        <v>2600</v>
      </c>
      <c r="H57" s="57">
        <f t="shared" si="0"/>
        <v>0</v>
      </c>
      <c r="I57" s="57">
        <f t="shared" si="1"/>
        <v>86715</v>
      </c>
      <c r="J57" s="58" t="str">
        <f t="shared" si="2"/>
        <v>CR</v>
      </c>
    </row>
    <row r="58" spans="1:10" x14ac:dyDescent="0.25">
      <c r="A58" s="60">
        <v>45732</v>
      </c>
      <c r="B58" s="58" t="s">
        <v>8</v>
      </c>
      <c r="C58" s="58"/>
      <c r="D58" s="58" t="s">
        <v>922</v>
      </c>
      <c r="E58" s="58">
        <v>2</v>
      </c>
      <c r="F58" s="58"/>
      <c r="G58" s="58">
        <v>5000</v>
      </c>
      <c r="H58" s="57">
        <f t="shared" si="0"/>
        <v>0</v>
      </c>
      <c r="I58" s="57">
        <f t="shared" si="1"/>
        <v>81715</v>
      </c>
      <c r="J58" s="58" t="str">
        <f t="shared" si="2"/>
        <v>CR</v>
      </c>
    </row>
    <row r="59" spans="1:10" x14ac:dyDescent="0.25">
      <c r="A59" s="60">
        <v>45732</v>
      </c>
      <c r="B59" s="58" t="s">
        <v>8</v>
      </c>
      <c r="C59" s="58"/>
      <c r="D59" s="58" t="s">
        <v>805</v>
      </c>
      <c r="E59" s="58">
        <v>1</v>
      </c>
      <c r="F59" s="58"/>
      <c r="G59" s="58">
        <v>1180</v>
      </c>
      <c r="H59" s="57">
        <f t="shared" si="0"/>
        <v>0</v>
      </c>
      <c r="I59" s="57">
        <f t="shared" si="1"/>
        <v>80535</v>
      </c>
      <c r="J59" s="58" t="str">
        <f t="shared" si="2"/>
        <v>CR</v>
      </c>
    </row>
    <row r="60" spans="1:10" x14ac:dyDescent="0.25">
      <c r="A60" s="60">
        <v>45804</v>
      </c>
      <c r="B60" s="58" t="s">
        <v>8</v>
      </c>
      <c r="C60" s="58"/>
      <c r="D60" s="58" t="s">
        <v>792</v>
      </c>
      <c r="E60" s="58">
        <v>1</v>
      </c>
      <c r="F60" s="58"/>
      <c r="G60" s="58">
        <v>1650</v>
      </c>
      <c r="H60" s="57">
        <f t="shared" si="0"/>
        <v>0</v>
      </c>
      <c r="I60" s="57">
        <f t="shared" si="1"/>
        <v>78885</v>
      </c>
      <c r="J60" s="58" t="str">
        <f t="shared" si="2"/>
        <v>CR</v>
      </c>
    </row>
    <row r="61" spans="1:10" x14ac:dyDescent="0.25">
      <c r="A61" s="60">
        <v>45804</v>
      </c>
      <c r="B61" s="58" t="s">
        <v>8</v>
      </c>
      <c r="C61" s="58"/>
      <c r="D61" s="58" t="s">
        <v>795</v>
      </c>
      <c r="E61" s="58">
        <v>1</v>
      </c>
      <c r="F61" s="58"/>
      <c r="G61" s="58">
        <v>3800</v>
      </c>
      <c r="H61" s="57">
        <f t="shared" si="0"/>
        <v>0</v>
      </c>
      <c r="I61" s="57">
        <f t="shared" si="1"/>
        <v>75085</v>
      </c>
      <c r="J61" s="58" t="str">
        <f t="shared" si="2"/>
        <v>CR</v>
      </c>
    </row>
    <row r="62" spans="1:10" x14ac:dyDescent="0.25">
      <c r="A62" s="60">
        <v>45804</v>
      </c>
      <c r="B62" s="58" t="s">
        <v>8</v>
      </c>
      <c r="C62" s="58"/>
      <c r="D62" s="58" t="s">
        <v>944</v>
      </c>
      <c r="E62" s="58">
        <v>1</v>
      </c>
      <c r="F62" s="58"/>
      <c r="G62" s="58">
        <v>1550</v>
      </c>
      <c r="H62" s="57">
        <f t="shared" si="0"/>
        <v>0</v>
      </c>
      <c r="I62" s="57">
        <f t="shared" si="1"/>
        <v>73535</v>
      </c>
      <c r="J62" s="58" t="str">
        <f t="shared" si="2"/>
        <v>CR</v>
      </c>
    </row>
    <row r="63" spans="1:10" x14ac:dyDescent="0.25">
      <c r="A63" s="60">
        <v>45848</v>
      </c>
      <c r="B63" s="58" t="s">
        <v>8</v>
      </c>
      <c r="C63" s="58"/>
      <c r="D63" s="58" t="s">
        <v>787</v>
      </c>
      <c r="E63" s="58">
        <v>1</v>
      </c>
      <c r="F63" s="58"/>
      <c r="G63" s="58">
        <v>1580</v>
      </c>
      <c r="H63" s="57">
        <f t="shared" si="0"/>
        <v>0</v>
      </c>
      <c r="I63" s="57">
        <f t="shared" si="1"/>
        <v>71955</v>
      </c>
      <c r="J63" s="58" t="str">
        <f t="shared" si="2"/>
        <v>CR</v>
      </c>
    </row>
    <row r="64" spans="1:10" x14ac:dyDescent="0.25">
      <c r="A64" s="60"/>
      <c r="B64" s="58"/>
      <c r="C64" s="58"/>
      <c r="D64" s="58" t="s">
        <v>790</v>
      </c>
      <c r="E64" s="58">
        <v>1</v>
      </c>
      <c r="F64" s="58"/>
      <c r="G64" s="58">
        <v>1580</v>
      </c>
      <c r="H64" s="57">
        <f t="shared" si="0"/>
        <v>0</v>
      </c>
      <c r="I64" s="57">
        <f t="shared" si="1"/>
        <v>70375</v>
      </c>
      <c r="J64" s="58" t="str">
        <f t="shared" si="2"/>
        <v>CR</v>
      </c>
    </row>
    <row r="65" spans="1:10" x14ac:dyDescent="0.25">
      <c r="A65" s="60"/>
      <c r="B65" s="58"/>
      <c r="C65" s="58"/>
      <c r="D65" s="58" t="s">
        <v>792</v>
      </c>
      <c r="E65" s="58">
        <v>1</v>
      </c>
      <c r="F65" s="58"/>
      <c r="G65" s="58">
        <v>1650</v>
      </c>
      <c r="H65" s="57">
        <f t="shared" si="0"/>
        <v>0</v>
      </c>
      <c r="I65" s="57">
        <f t="shared" si="1"/>
        <v>68725</v>
      </c>
      <c r="J65" s="58" t="str">
        <f t="shared" si="2"/>
        <v>CR</v>
      </c>
    </row>
    <row r="66" spans="1:10" x14ac:dyDescent="0.25">
      <c r="A66" s="60"/>
      <c r="B66" s="58"/>
      <c r="C66" s="58"/>
      <c r="D66" s="58" t="s">
        <v>987</v>
      </c>
      <c r="E66" s="58">
        <v>1</v>
      </c>
      <c r="F66" s="58"/>
      <c r="G66" s="58">
        <v>1580</v>
      </c>
      <c r="H66" s="57">
        <f t="shared" si="0"/>
        <v>0</v>
      </c>
      <c r="I66" s="57">
        <f t="shared" si="1"/>
        <v>67145</v>
      </c>
      <c r="J66" s="58" t="str">
        <f t="shared" si="2"/>
        <v>CR</v>
      </c>
    </row>
    <row r="67" spans="1:10" x14ac:dyDescent="0.25">
      <c r="A67" s="60"/>
      <c r="B67" s="58"/>
      <c r="C67" s="58"/>
      <c r="D67" s="58" t="s">
        <v>795</v>
      </c>
      <c r="E67" s="58">
        <v>1</v>
      </c>
      <c r="F67" s="58"/>
      <c r="G67" s="58">
        <v>3800</v>
      </c>
      <c r="H67" s="57">
        <f t="shared" si="0"/>
        <v>0</v>
      </c>
      <c r="I67" s="57">
        <f t="shared" si="1"/>
        <v>63345</v>
      </c>
      <c r="J67" s="58" t="str">
        <f t="shared" si="2"/>
        <v>CR</v>
      </c>
    </row>
    <row r="68" spans="1:10" x14ac:dyDescent="0.25">
      <c r="A68" s="60"/>
      <c r="B68" s="58"/>
      <c r="C68" s="58"/>
      <c r="D68" s="58" t="s">
        <v>988</v>
      </c>
      <c r="E68" s="58">
        <v>1</v>
      </c>
      <c r="F68" s="58"/>
      <c r="G68" s="58">
        <v>2180</v>
      </c>
      <c r="H68" s="57">
        <f t="shared" si="0"/>
        <v>0</v>
      </c>
      <c r="I68" s="57">
        <f t="shared" si="1"/>
        <v>61165</v>
      </c>
      <c r="J68" s="58" t="str">
        <f t="shared" si="2"/>
        <v>CR</v>
      </c>
    </row>
    <row r="69" spans="1:10" x14ac:dyDescent="0.25">
      <c r="A69" s="60"/>
      <c r="B69" s="58"/>
      <c r="C69" s="58"/>
      <c r="D69" s="58" t="s">
        <v>989</v>
      </c>
      <c r="E69" s="58">
        <v>1</v>
      </c>
      <c r="F69" s="58"/>
      <c r="G69" s="58">
        <v>1450</v>
      </c>
      <c r="H69" s="57">
        <f t="shared" si="0"/>
        <v>0</v>
      </c>
      <c r="I69" s="57">
        <f t="shared" si="1"/>
        <v>59715</v>
      </c>
      <c r="J69" s="58" t="str">
        <f t="shared" si="2"/>
        <v>CR</v>
      </c>
    </row>
    <row r="70" spans="1:10" x14ac:dyDescent="0.25">
      <c r="A70" s="60"/>
      <c r="B70" s="58"/>
      <c r="C70" s="58"/>
      <c r="D70" s="58" t="s">
        <v>817</v>
      </c>
      <c r="E70" s="58">
        <v>2</v>
      </c>
      <c r="F70" s="58"/>
      <c r="G70" s="58">
        <v>730</v>
      </c>
      <c r="H70" s="57">
        <f t="shared" si="0"/>
        <v>0</v>
      </c>
      <c r="I70" s="57">
        <f t="shared" si="1"/>
        <v>58985</v>
      </c>
      <c r="J70" s="58" t="str">
        <f t="shared" si="2"/>
        <v>CR</v>
      </c>
    </row>
    <row r="71" spans="1:10" x14ac:dyDescent="0.25">
      <c r="A71" s="60"/>
      <c r="B71" s="58"/>
      <c r="C71" s="58"/>
      <c r="D71" s="58" t="s">
        <v>990</v>
      </c>
      <c r="E71" s="58">
        <v>2</v>
      </c>
      <c r="F71" s="58"/>
      <c r="G71" s="58">
        <f>580*E71</f>
        <v>1160</v>
      </c>
      <c r="H71" s="57">
        <f t="shared" ref="H71:H104" si="3">E71*F71</f>
        <v>0</v>
      </c>
      <c r="I71" s="57">
        <f t="shared" ref="I71:I104" si="4">I70+H71-G71</f>
        <v>57825</v>
      </c>
      <c r="J71" s="58" t="str">
        <f t="shared" ref="J71:J104" si="5">IF(I71=0,"NIL",IF(I71&gt;0,"CR","DR"))</f>
        <v>CR</v>
      </c>
    </row>
    <row r="72" spans="1:10" x14ac:dyDescent="0.25">
      <c r="A72" s="60"/>
      <c r="B72" s="58"/>
      <c r="C72" s="58"/>
      <c r="D72" s="58"/>
      <c r="E72" s="58"/>
      <c r="F72" s="58"/>
      <c r="G72" s="58"/>
      <c r="H72" s="57">
        <f t="shared" si="3"/>
        <v>0</v>
      </c>
      <c r="I72" s="57">
        <f t="shared" si="4"/>
        <v>57825</v>
      </c>
      <c r="J72" s="58" t="str">
        <f t="shared" si="5"/>
        <v>CR</v>
      </c>
    </row>
    <row r="73" spans="1:10" x14ac:dyDescent="0.25">
      <c r="A73" s="60"/>
      <c r="B73" s="58"/>
      <c r="C73" s="58"/>
      <c r="D73" s="58"/>
      <c r="E73" s="58"/>
      <c r="F73" s="58"/>
      <c r="G73" s="58"/>
      <c r="H73" s="57">
        <f t="shared" si="3"/>
        <v>0</v>
      </c>
      <c r="I73" s="57">
        <f t="shared" si="4"/>
        <v>57825</v>
      </c>
      <c r="J73" s="58" t="str">
        <f t="shared" si="5"/>
        <v>CR</v>
      </c>
    </row>
    <row r="74" spans="1:10" x14ac:dyDescent="0.25">
      <c r="A74" s="60"/>
      <c r="B74" s="58"/>
      <c r="C74" s="58"/>
      <c r="D74" s="58"/>
      <c r="E74" s="58"/>
      <c r="F74" s="58"/>
      <c r="G74" s="58"/>
      <c r="H74" s="57">
        <f t="shared" si="3"/>
        <v>0</v>
      </c>
      <c r="I74" s="57">
        <f t="shared" si="4"/>
        <v>57825</v>
      </c>
      <c r="J74" s="58" t="str">
        <f t="shared" si="5"/>
        <v>CR</v>
      </c>
    </row>
    <row r="75" spans="1:10" x14ac:dyDescent="0.25">
      <c r="A75" s="60"/>
      <c r="B75" s="58"/>
      <c r="C75" s="58"/>
      <c r="D75" s="58"/>
      <c r="E75" s="58"/>
      <c r="F75" s="58"/>
      <c r="G75" s="58"/>
      <c r="H75" s="57">
        <f t="shared" si="3"/>
        <v>0</v>
      </c>
      <c r="I75" s="57">
        <f t="shared" si="4"/>
        <v>57825</v>
      </c>
      <c r="J75" s="58" t="str">
        <f t="shared" si="5"/>
        <v>CR</v>
      </c>
    </row>
    <row r="76" spans="1:10" x14ac:dyDescent="0.25">
      <c r="A76" s="60"/>
      <c r="B76" s="58"/>
      <c r="C76" s="58"/>
      <c r="D76" s="58"/>
      <c r="E76" s="58"/>
      <c r="F76" s="58"/>
      <c r="G76" s="58"/>
      <c r="H76" s="57">
        <f t="shared" si="3"/>
        <v>0</v>
      </c>
      <c r="I76" s="57">
        <f t="shared" si="4"/>
        <v>57825</v>
      </c>
      <c r="J76" s="58" t="str">
        <f t="shared" si="5"/>
        <v>CR</v>
      </c>
    </row>
    <row r="77" spans="1:10" x14ac:dyDescent="0.25">
      <c r="A77" s="60"/>
      <c r="B77" s="58"/>
      <c r="C77" s="58"/>
      <c r="D77" s="58"/>
      <c r="E77" s="58"/>
      <c r="F77" s="58"/>
      <c r="G77" s="58"/>
      <c r="H77" s="57">
        <f t="shared" si="3"/>
        <v>0</v>
      </c>
      <c r="I77" s="57">
        <f t="shared" si="4"/>
        <v>57825</v>
      </c>
      <c r="J77" s="58" t="str">
        <f t="shared" si="5"/>
        <v>CR</v>
      </c>
    </row>
    <row r="78" spans="1:10" x14ac:dyDescent="0.25">
      <c r="A78" s="60"/>
      <c r="B78" s="58"/>
      <c r="C78" s="58"/>
      <c r="D78" s="58"/>
      <c r="E78" s="58"/>
      <c r="F78" s="58"/>
      <c r="G78" s="58"/>
      <c r="H78" s="57">
        <f t="shared" si="3"/>
        <v>0</v>
      </c>
      <c r="I78" s="57">
        <f t="shared" si="4"/>
        <v>57825</v>
      </c>
      <c r="J78" s="58" t="str">
        <f t="shared" si="5"/>
        <v>CR</v>
      </c>
    </row>
    <row r="79" spans="1:10" x14ac:dyDescent="0.25">
      <c r="A79" s="60"/>
      <c r="B79" s="58"/>
      <c r="C79" s="58"/>
      <c r="D79" s="58"/>
      <c r="E79" s="58"/>
      <c r="F79" s="58"/>
      <c r="G79" s="58"/>
      <c r="H79" s="57">
        <f t="shared" si="3"/>
        <v>0</v>
      </c>
      <c r="I79" s="57">
        <f t="shared" si="4"/>
        <v>57825</v>
      </c>
      <c r="J79" s="58" t="str">
        <f t="shared" si="5"/>
        <v>CR</v>
      </c>
    </row>
    <row r="80" spans="1:10" x14ac:dyDescent="0.25">
      <c r="A80" s="60"/>
      <c r="B80" s="58"/>
      <c r="C80" s="58"/>
      <c r="D80" s="58"/>
      <c r="E80" s="58"/>
      <c r="F80" s="58"/>
      <c r="G80" s="58"/>
      <c r="H80" s="57">
        <f t="shared" si="3"/>
        <v>0</v>
      </c>
      <c r="I80" s="57">
        <f t="shared" si="4"/>
        <v>57825</v>
      </c>
      <c r="J80" s="58" t="str">
        <f t="shared" si="5"/>
        <v>CR</v>
      </c>
    </row>
    <row r="81" spans="1:10" x14ac:dyDescent="0.25">
      <c r="A81" s="60"/>
      <c r="B81" s="58"/>
      <c r="C81" s="58"/>
      <c r="D81" s="58"/>
      <c r="E81" s="58"/>
      <c r="F81" s="58"/>
      <c r="G81" s="58"/>
      <c r="H81" s="57">
        <f t="shared" si="3"/>
        <v>0</v>
      </c>
      <c r="I81" s="57">
        <f t="shared" si="4"/>
        <v>57825</v>
      </c>
      <c r="J81" s="58" t="str">
        <f t="shared" si="5"/>
        <v>CR</v>
      </c>
    </row>
    <row r="82" spans="1:10" x14ac:dyDescent="0.25">
      <c r="A82" s="60"/>
      <c r="B82" s="58"/>
      <c r="C82" s="58"/>
      <c r="D82" s="58"/>
      <c r="E82" s="58"/>
      <c r="F82" s="58"/>
      <c r="G82" s="58"/>
      <c r="H82" s="57">
        <f t="shared" si="3"/>
        <v>0</v>
      </c>
      <c r="I82" s="57">
        <f t="shared" si="4"/>
        <v>57825</v>
      </c>
      <c r="J82" s="58" t="str">
        <f t="shared" si="5"/>
        <v>CR</v>
      </c>
    </row>
    <row r="83" spans="1:10" x14ac:dyDescent="0.25">
      <c r="A83" s="60"/>
      <c r="B83" s="58"/>
      <c r="C83" s="58"/>
      <c r="D83" s="58"/>
      <c r="E83" s="58"/>
      <c r="F83" s="58"/>
      <c r="G83" s="58"/>
      <c r="H83" s="57">
        <f t="shared" si="3"/>
        <v>0</v>
      </c>
      <c r="I83" s="57">
        <f t="shared" si="4"/>
        <v>57825</v>
      </c>
      <c r="J83" s="58" t="str">
        <f t="shared" si="5"/>
        <v>CR</v>
      </c>
    </row>
    <row r="84" spans="1:10" x14ac:dyDescent="0.25">
      <c r="A84" s="60"/>
      <c r="B84" s="58"/>
      <c r="C84" s="58"/>
      <c r="D84" s="58"/>
      <c r="E84" s="58"/>
      <c r="F84" s="58"/>
      <c r="G84" s="58"/>
      <c r="H84" s="57">
        <f t="shared" si="3"/>
        <v>0</v>
      </c>
      <c r="I84" s="57">
        <f t="shared" si="4"/>
        <v>57825</v>
      </c>
      <c r="J84" s="58" t="str">
        <f t="shared" si="5"/>
        <v>CR</v>
      </c>
    </row>
    <row r="85" spans="1:10" x14ac:dyDescent="0.25">
      <c r="A85" s="60"/>
      <c r="B85" s="58"/>
      <c r="C85" s="58"/>
      <c r="D85" s="58"/>
      <c r="E85" s="58"/>
      <c r="F85" s="58"/>
      <c r="G85" s="58"/>
      <c r="H85" s="57">
        <f t="shared" si="3"/>
        <v>0</v>
      </c>
      <c r="I85" s="57">
        <f t="shared" si="4"/>
        <v>57825</v>
      </c>
      <c r="J85" s="58" t="str">
        <f t="shared" si="5"/>
        <v>CR</v>
      </c>
    </row>
    <row r="86" spans="1:10" x14ac:dyDescent="0.25">
      <c r="A86" s="60"/>
      <c r="B86" s="58"/>
      <c r="C86" s="58"/>
      <c r="D86" s="58"/>
      <c r="E86" s="58"/>
      <c r="F86" s="58"/>
      <c r="G86" s="58"/>
      <c r="H86" s="57">
        <f t="shared" si="3"/>
        <v>0</v>
      </c>
      <c r="I86" s="57">
        <f t="shared" si="4"/>
        <v>57825</v>
      </c>
      <c r="J86" s="58" t="str">
        <f t="shared" si="5"/>
        <v>CR</v>
      </c>
    </row>
    <row r="87" spans="1:10" x14ac:dyDescent="0.25">
      <c r="A87" s="60"/>
      <c r="B87" s="58"/>
      <c r="C87" s="58"/>
      <c r="D87" s="58"/>
      <c r="E87" s="58"/>
      <c r="F87" s="58"/>
      <c r="G87" s="58"/>
      <c r="H87" s="57">
        <f t="shared" si="3"/>
        <v>0</v>
      </c>
      <c r="I87" s="57">
        <f t="shared" si="4"/>
        <v>57825</v>
      </c>
      <c r="J87" s="58" t="str">
        <f t="shared" si="5"/>
        <v>CR</v>
      </c>
    </row>
    <row r="88" spans="1:10" x14ac:dyDescent="0.25">
      <c r="A88" s="60"/>
      <c r="B88" s="58"/>
      <c r="C88" s="58"/>
      <c r="D88" s="58"/>
      <c r="E88" s="58"/>
      <c r="F88" s="58"/>
      <c r="G88" s="58"/>
      <c r="H88" s="57">
        <f t="shared" si="3"/>
        <v>0</v>
      </c>
      <c r="I88" s="57">
        <f t="shared" si="4"/>
        <v>57825</v>
      </c>
      <c r="J88" s="58" t="str">
        <f t="shared" si="5"/>
        <v>CR</v>
      </c>
    </row>
    <row r="89" spans="1:10" x14ac:dyDescent="0.25">
      <c r="A89" s="60"/>
      <c r="B89" s="58"/>
      <c r="C89" s="58"/>
      <c r="D89" s="58"/>
      <c r="E89" s="58"/>
      <c r="F89" s="58"/>
      <c r="G89" s="58"/>
      <c r="H89" s="57">
        <f t="shared" si="3"/>
        <v>0</v>
      </c>
      <c r="I89" s="57">
        <f t="shared" si="4"/>
        <v>57825</v>
      </c>
      <c r="J89" s="58" t="str">
        <f t="shared" si="5"/>
        <v>CR</v>
      </c>
    </row>
    <row r="90" spans="1:10" x14ac:dyDescent="0.25">
      <c r="A90" s="60"/>
      <c r="B90" s="58"/>
      <c r="C90" s="58"/>
      <c r="D90" s="58"/>
      <c r="E90" s="58"/>
      <c r="F90" s="58"/>
      <c r="G90" s="58"/>
      <c r="H90" s="57">
        <f t="shared" si="3"/>
        <v>0</v>
      </c>
      <c r="I90" s="57">
        <f t="shared" si="4"/>
        <v>57825</v>
      </c>
      <c r="J90" s="58" t="str">
        <f t="shared" si="5"/>
        <v>CR</v>
      </c>
    </row>
    <row r="91" spans="1:10" x14ac:dyDescent="0.25">
      <c r="A91" s="60"/>
      <c r="B91" s="58"/>
      <c r="C91" s="58"/>
      <c r="D91" s="58"/>
      <c r="E91" s="58"/>
      <c r="F91" s="58"/>
      <c r="G91" s="58"/>
      <c r="H91" s="57">
        <f t="shared" si="3"/>
        <v>0</v>
      </c>
      <c r="I91" s="57">
        <f t="shared" si="4"/>
        <v>57825</v>
      </c>
      <c r="J91" s="58" t="str">
        <f t="shared" si="5"/>
        <v>CR</v>
      </c>
    </row>
    <row r="92" spans="1:10" x14ac:dyDescent="0.25">
      <c r="A92" s="60"/>
      <c r="B92" s="58"/>
      <c r="C92" s="58"/>
      <c r="D92" s="58"/>
      <c r="E92" s="58"/>
      <c r="F92" s="58"/>
      <c r="G92" s="58"/>
      <c r="H92" s="57">
        <f t="shared" si="3"/>
        <v>0</v>
      </c>
      <c r="I92" s="57">
        <f t="shared" si="4"/>
        <v>57825</v>
      </c>
      <c r="J92" s="58" t="str">
        <f t="shared" si="5"/>
        <v>CR</v>
      </c>
    </row>
    <row r="93" spans="1:10" x14ac:dyDescent="0.25">
      <c r="A93" s="60"/>
      <c r="B93" s="58"/>
      <c r="C93" s="58"/>
      <c r="D93" s="58"/>
      <c r="E93" s="58"/>
      <c r="F93" s="58"/>
      <c r="G93" s="58"/>
      <c r="H93" s="57">
        <f t="shared" si="3"/>
        <v>0</v>
      </c>
      <c r="I93" s="57">
        <f t="shared" si="4"/>
        <v>57825</v>
      </c>
      <c r="J93" s="58" t="str">
        <f t="shared" si="5"/>
        <v>CR</v>
      </c>
    </row>
    <row r="94" spans="1:10" x14ac:dyDescent="0.25">
      <c r="A94" s="60"/>
      <c r="B94" s="58"/>
      <c r="C94" s="58"/>
      <c r="D94" s="58"/>
      <c r="E94" s="58"/>
      <c r="F94" s="58"/>
      <c r="G94" s="58"/>
      <c r="H94" s="57">
        <f t="shared" si="3"/>
        <v>0</v>
      </c>
      <c r="I94" s="57">
        <f t="shared" si="4"/>
        <v>57825</v>
      </c>
      <c r="J94" s="58" t="str">
        <f t="shared" si="5"/>
        <v>CR</v>
      </c>
    </row>
    <row r="95" spans="1:10" x14ac:dyDescent="0.25">
      <c r="A95" s="60"/>
      <c r="B95" s="58"/>
      <c r="C95" s="58"/>
      <c r="D95" s="58"/>
      <c r="E95" s="58"/>
      <c r="F95" s="58"/>
      <c r="G95" s="58"/>
      <c r="H95" s="57">
        <f t="shared" si="3"/>
        <v>0</v>
      </c>
      <c r="I95" s="57">
        <f t="shared" si="4"/>
        <v>57825</v>
      </c>
      <c r="J95" s="58" t="str">
        <f t="shared" si="5"/>
        <v>CR</v>
      </c>
    </row>
    <row r="96" spans="1:10" x14ac:dyDescent="0.25">
      <c r="A96" s="60"/>
      <c r="B96" s="58"/>
      <c r="C96" s="58"/>
      <c r="D96" s="58"/>
      <c r="E96" s="58"/>
      <c r="F96" s="58"/>
      <c r="G96" s="58"/>
      <c r="H96" s="57">
        <f t="shared" si="3"/>
        <v>0</v>
      </c>
      <c r="I96" s="57">
        <f t="shared" si="4"/>
        <v>57825</v>
      </c>
      <c r="J96" s="58" t="str">
        <f t="shared" si="5"/>
        <v>CR</v>
      </c>
    </row>
    <row r="97" spans="1:10" x14ac:dyDescent="0.25">
      <c r="A97" s="60"/>
      <c r="B97" s="58"/>
      <c r="C97" s="58"/>
      <c r="D97" s="58"/>
      <c r="E97" s="58"/>
      <c r="F97" s="58"/>
      <c r="G97" s="58"/>
      <c r="H97" s="57">
        <f t="shared" si="3"/>
        <v>0</v>
      </c>
      <c r="I97" s="57">
        <f t="shared" si="4"/>
        <v>57825</v>
      </c>
      <c r="J97" s="58" t="str">
        <f t="shared" si="5"/>
        <v>CR</v>
      </c>
    </row>
    <row r="98" spans="1:10" x14ac:dyDescent="0.25">
      <c r="A98" s="60"/>
      <c r="B98" s="58"/>
      <c r="C98" s="58"/>
      <c r="D98" s="58"/>
      <c r="E98" s="58"/>
      <c r="F98" s="58"/>
      <c r="G98" s="58"/>
      <c r="H98" s="57">
        <f t="shared" si="3"/>
        <v>0</v>
      </c>
      <c r="I98" s="57">
        <f t="shared" si="4"/>
        <v>57825</v>
      </c>
      <c r="J98" s="58" t="str">
        <f t="shared" si="5"/>
        <v>CR</v>
      </c>
    </row>
    <row r="99" spans="1:10" x14ac:dyDescent="0.25">
      <c r="A99" s="60"/>
      <c r="B99" s="58"/>
      <c r="C99" s="58"/>
      <c r="D99" s="58"/>
      <c r="E99" s="58"/>
      <c r="F99" s="58"/>
      <c r="G99" s="58"/>
      <c r="H99" s="57">
        <f t="shared" si="3"/>
        <v>0</v>
      </c>
      <c r="I99" s="57">
        <f t="shared" si="4"/>
        <v>57825</v>
      </c>
      <c r="J99" s="58" t="str">
        <f t="shared" si="5"/>
        <v>CR</v>
      </c>
    </row>
    <row r="100" spans="1:10" x14ac:dyDescent="0.25">
      <c r="A100" s="60"/>
      <c r="B100" s="58"/>
      <c r="C100" s="58"/>
      <c r="D100" s="58"/>
      <c r="E100" s="58"/>
      <c r="F100" s="58"/>
      <c r="G100" s="58"/>
      <c r="H100" s="57">
        <f t="shared" si="3"/>
        <v>0</v>
      </c>
      <c r="I100" s="57">
        <f t="shared" si="4"/>
        <v>57825</v>
      </c>
      <c r="J100" s="58" t="str">
        <f t="shared" si="5"/>
        <v>CR</v>
      </c>
    </row>
    <row r="101" spans="1:10" x14ac:dyDescent="0.25">
      <c r="A101" s="60"/>
      <c r="B101" s="58"/>
      <c r="C101" s="58"/>
      <c r="D101" s="58"/>
      <c r="E101" s="58"/>
      <c r="F101" s="58"/>
      <c r="G101" s="58"/>
      <c r="H101" s="57">
        <f t="shared" si="3"/>
        <v>0</v>
      </c>
      <c r="I101" s="57">
        <f t="shared" si="4"/>
        <v>57825</v>
      </c>
      <c r="J101" s="58" t="str">
        <f t="shared" si="5"/>
        <v>CR</v>
      </c>
    </row>
    <row r="102" spans="1:10" x14ac:dyDescent="0.25">
      <c r="A102" s="60"/>
      <c r="B102" s="58"/>
      <c r="C102" s="58"/>
      <c r="D102" s="58"/>
      <c r="E102" s="58"/>
      <c r="F102" s="58"/>
      <c r="G102" s="58"/>
      <c r="H102" s="57">
        <f t="shared" si="3"/>
        <v>0</v>
      </c>
      <c r="I102" s="57">
        <f t="shared" si="4"/>
        <v>57825</v>
      </c>
      <c r="J102" s="58" t="str">
        <f t="shared" si="5"/>
        <v>CR</v>
      </c>
    </row>
    <row r="103" spans="1:10" x14ac:dyDescent="0.25">
      <c r="A103" s="60"/>
      <c r="B103" s="58"/>
      <c r="C103" s="58"/>
      <c r="D103" s="58"/>
      <c r="E103" s="58"/>
      <c r="F103" s="58"/>
      <c r="G103" s="58"/>
      <c r="H103" s="57">
        <f t="shared" si="3"/>
        <v>0</v>
      </c>
      <c r="I103" s="57">
        <f t="shared" si="4"/>
        <v>57825</v>
      </c>
      <c r="J103" s="58" t="str">
        <f t="shared" si="5"/>
        <v>CR</v>
      </c>
    </row>
    <row r="104" spans="1:10" x14ac:dyDescent="0.25">
      <c r="A104" s="60"/>
      <c r="B104" s="58"/>
      <c r="C104" s="58"/>
      <c r="D104" s="58"/>
      <c r="E104" s="58"/>
      <c r="F104" s="58"/>
      <c r="G104" s="58"/>
      <c r="H104" s="57">
        <f t="shared" si="3"/>
        <v>0</v>
      </c>
      <c r="I104" s="57">
        <f t="shared" si="4"/>
        <v>57825</v>
      </c>
      <c r="J104" s="58" t="str">
        <f t="shared" si="5"/>
        <v>CR</v>
      </c>
    </row>
    <row r="105" spans="1:10" ht="23.25" x14ac:dyDescent="0.35">
      <c r="A105" s="68"/>
      <c r="B105" s="68"/>
      <c r="C105" s="68"/>
      <c r="D105" s="68" t="s">
        <v>9</v>
      </c>
      <c r="E105" s="68"/>
      <c r="F105" s="68"/>
      <c r="G105" s="68">
        <f>SUM(G75:G104)</f>
        <v>0</v>
      </c>
      <c r="H105" s="68">
        <f>SUM(H75:H104)</f>
        <v>0</v>
      </c>
      <c r="I105" s="69">
        <f>I74+H105-G105</f>
        <v>57825</v>
      </c>
      <c r="J105" s="68" t="str">
        <f t="shared" ref="J105" si="6">IF(I105=0,"NIL",IF(I105&gt;0,"CR","DR"))</f>
        <v>CR</v>
      </c>
    </row>
  </sheetData>
  <mergeCells count="4">
    <mergeCell ref="A1:J1"/>
    <mergeCell ref="A2:J2"/>
    <mergeCell ref="A3:J3"/>
    <mergeCell ref="I4:J4"/>
  </mergeCells>
  <hyperlinks>
    <hyperlink ref="L2" location="'PAYABLES-2024'!A1" display="PAYABLE HOME" xr:uid="{108C003A-A055-4D6C-8CCE-98F87CBB8C49}"/>
  </hyperlinks>
  <pageMargins left="0.7" right="0.7" top="0.75" bottom="0.75" header="0.3" footer="0.3"/>
  <pageSetup scale="66" orientation="portrait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2</vt:i4>
      </vt:variant>
    </vt:vector>
  </HeadingPairs>
  <TitlesOfParts>
    <vt:vector size="35" baseType="lpstr">
      <vt:lpstr>PAYABLES-2024</vt:lpstr>
      <vt:lpstr>NAEEM BHI PBM 1</vt:lpstr>
      <vt:lpstr>NAEEM BHI PBM-2</vt:lpstr>
      <vt:lpstr>NAEEM BHI PBM-3 </vt:lpstr>
      <vt:lpstr>NAEEM BHI PBM ISB LAPTOPS 1 </vt:lpstr>
      <vt:lpstr>NAEEM BHI PBM ISB LAPTOPS 2</vt:lpstr>
      <vt:lpstr> ZAFAR &amp; SONS RWP 1</vt:lpstr>
      <vt:lpstr> ZAFAR &amp; SONS RWP 2</vt:lpstr>
      <vt:lpstr>ZAFAR &amp; SONS RWP 3 </vt:lpstr>
      <vt:lpstr> ZAFAR &amp; SONS RWP 4  </vt:lpstr>
      <vt:lpstr> ZAFAR &amp; SONS RWP 5 </vt:lpstr>
      <vt:lpstr>AL AZIZ-LHR-1</vt:lpstr>
      <vt:lpstr>AL AZIZ-LHR-2</vt:lpstr>
      <vt:lpstr>AL AZIZ-LHR-3</vt:lpstr>
      <vt:lpstr>AL AZIZ-LHR-4</vt:lpstr>
      <vt:lpstr>AL AZIZ-LHR-5</vt:lpstr>
      <vt:lpstr>AL AZIZ-LHR-6</vt:lpstr>
      <vt:lpstr>AL AZIZ-LHR-7 </vt:lpstr>
      <vt:lpstr>AL AZIZ-LHR-8</vt:lpstr>
      <vt:lpstr>AL AZIZ-LHR-9</vt:lpstr>
      <vt:lpstr>AL AZIZ-LHR-10 </vt:lpstr>
      <vt:lpstr>AL AZIZ-LHR-11</vt:lpstr>
      <vt:lpstr>AL AZIZ-LHR-12</vt:lpstr>
      <vt:lpstr>AL AZIZ-LHR-13</vt:lpstr>
      <vt:lpstr>AL AZIZ-LHR-14 </vt:lpstr>
      <vt:lpstr>AL AZIZ-LHR-15 </vt:lpstr>
      <vt:lpstr>AL AZIZ-LHR-16 </vt:lpstr>
      <vt:lpstr>AL AZIZ-LHR-17 </vt:lpstr>
      <vt:lpstr>AL AZIZ-LHR-18</vt:lpstr>
      <vt:lpstr>AL AZIZ-LHR-19</vt:lpstr>
      <vt:lpstr>NASNIM BHI-1</vt:lpstr>
      <vt:lpstr>NASNIM BHI-2</vt:lpstr>
      <vt:lpstr>Abdul Rafay</vt:lpstr>
      <vt:lpstr>'NASNIM BHI-1'!Print_Area</vt:lpstr>
      <vt:lpstr>'NASNIM BHI-2'!Print_Area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2026-08-25T09:45:53Z</dcterms:modified>
</cp:coreProperties>
</file>