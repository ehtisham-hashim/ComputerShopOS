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ASNIM COMPUTER\Desktop\data\"/>
    </mc:Choice>
  </mc:AlternateContent>
  <xr:revisionPtr revIDLastSave="0" documentId="13_ncr:1_{43C8E6E6-795F-4F8E-BC5A-6518C7E88989}" xr6:coauthVersionLast="47" xr6:coauthVersionMax="47" xr10:uidLastSave="{00000000-0000-0000-0000-000000000000}"/>
  <bookViews>
    <workbookView xWindow="-120" yWindow="-120" windowWidth="21840" windowHeight="13140" tabRatio="932" activeTab="9" xr2:uid="{00000000-000D-0000-FFFF-FFFF00000000}"/>
  </bookViews>
  <sheets>
    <sheet name="MAR-2026" sheetId="44" r:id="rId1"/>
    <sheet name="APRIL-2026" sheetId="45" r:id="rId2"/>
    <sheet name="MAY-2026" sheetId="46" r:id="rId3"/>
    <sheet name="JUNE-2026" sheetId="47" r:id="rId4"/>
    <sheet name="JULY-2026" sheetId="48" r:id="rId5"/>
    <sheet name="AUG-2026" sheetId="49" r:id="rId6"/>
    <sheet name="SEP-2026" sheetId="50" r:id="rId7"/>
    <sheet name="OCT-2026" sheetId="51" r:id="rId8"/>
    <sheet name="NOV-2026" sheetId="52" r:id="rId9"/>
    <sheet name="DEC-2026" sheetId="53" r:id="rId10"/>
  </sheets>
  <definedNames>
    <definedName name="_xlnm._FilterDatabase" localSheetId="0" hidden="1">'MAR-2026'!$B$5:$E$5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4" i="46" l="1"/>
  <c r="F37" i="48"/>
  <c r="D52" i="53" l="1"/>
  <c r="E37" i="53"/>
  <c r="D41" i="53" s="1"/>
  <c r="F37" i="53"/>
  <c r="D37" i="53"/>
  <c r="D53" i="53" l="1"/>
  <c r="D54" i="53" s="1"/>
  <c r="D55" i="53" s="1"/>
  <c r="D52" i="52" l="1"/>
  <c r="E37" i="52"/>
  <c r="D41" i="52" s="1"/>
  <c r="F37" i="52"/>
  <c r="D37" i="52"/>
  <c r="D53" i="52" l="1"/>
  <c r="D54" i="52" l="1"/>
  <c r="D55" i="52" s="1"/>
  <c r="F37" i="51" l="1"/>
  <c r="D52" i="51" s="1"/>
  <c r="E37" i="51"/>
  <c r="D41" i="51" s="1"/>
  <c r="D53" i="51" l="1"/>
  <c r="D54" i="51" s="1"/>
  <c r="D55" i="51" s="1"/>
  <c r="D37" i="51"/>
  <c r="F37" i="50" l="1"/>
  <c r="D52" i="50" s="1"/>
  <c r="E37" i="50"/>
  <c r="D41" i="50" s="1"/>
  <c r="D37" i="50"/>
  <c r="D53" i="50" l="1"/>
  <c r="D54" i="50" s="1"/>
  <c r="D55" i="50" l="1"/>
  <c r="F37" i="49" l="1"/>
  <c r="E37" i="49"/>
  <c r="D41" i="49" s="1"/>
  <c r="D37" i="49" l="1"/>
  <c r="D53" i="49"/>
  <c r="D54" i="49" s="1"/>
  <c r="D55" i="49" l="1"/>
  <c r="D56" i="49" l="1"/>
  <c r="D53" i="48" l="1"/>
  <c r="E37" i="48"/>
  <c r="D41" i="48" s="1"/>
  <c r="D37" i="48"/>
  <c r="D54" i="48" l="1"/>
  <c r="D55" i="48" s="1"/>
  <c r="D56" i="48" s="1"/>
  <c r="F37" i="47" l="1"/>
  <c r="D53" i="47" s="1"/>
  <c r="D37" i="47" l="1"/>
  <c r="E37" i="47"/>
  <c r="D41" i="47" s="1"/>
  <c r="D54" i="47" s="1"/>
  <c r="D55" i="47" s="1"/>
  <c r="D56" i="47" l="1"/>
  <c r="D53" i="46"/>
  <c r="E37" i="46" l="1"/>
  <c r="D41" i="46" s="1"/>
  <c r="D54" i="46" s="1"/>
  <c r="D53" i="45"/>
  <c r="F37" i="45"/>
  <c r="D53" i="44"/>
  <c r="F37" i="46" l="1"/>
  <c r="E37" i="45"/>
  <c r="D41" i="45" s="1"/>
  <c r="D54" i="45" s="1"/>
  <c r="D37" i="46"/>
  <c r="D55" i="46"/>
  <c r="D37" i="45"/>
  <c r="D37" i="44"/>
  <c r="D56" i="46" l="1"/>
  <c r="D55" i="45"/>
  <c r="E37" i="44"/>
  <c r="D56" i="45" l="1"/>
  <c r="F37" i="44"/>
  <c r="D41" i="44"/>
  <c r="D54" i="44" s="1"/>
  <c r="D55" i="44" l="1"/>
  <c r="D56" i="4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TASNIM COMPUTERS</author>
  </authors>
  <commentList>
    <comment ref="F16" authorId="0" shapeId="0" xr:uid="{1777D6FF-6C58-4575-90F2-5E4B8AEA1B2F}">
      <text>
        <r>
          <rPr>
            <b/>
            <sz val="9"/>
            <color indexed="81"/>
            <rFont val="Tahoma"/>
            <family val="2"/>
          </rPr>
          <t>TASNIM COMPUTERS:</t>
        </r>
        <r>
          <rPr>
            <sz val="9"/>
            <color indexed="81"/>
            <rFont val="Tahoma"/>
            <family val="2"/>
          </rPr>
          <t xml:space="preserve">
MOURI AIR BUDS RS. 2300/- BUYING PRICE</t>
        </r>
      </text>
    </comment>
  </commentList>
</comments>
</file>

<file path=xl/sharedStrings.xml><?xml version="1.0" encoding="utf-8"?>
<sst xmlns="http://schemas.openxmlformats.org/spreadsheetml/2006/main" count="542" uniqueCount="40">
  <si>
    <t>DATE</t>
  </si>
  <si>
    <t>SALE</t>
  </si>
  <si>
    <t>GP</t>
  </si>
  <si>
    <t xml:space="preserve">TOTAL </t>
  </si>
  <si>
    <t xml:space="preserve">TOTAL GP </t>
  </si>
  <si>
    <t>SHOP RENT</t>
  </si>
  <si>
    <t>SHOP ELECTRICITY BILL</t>
  </si>
  <si>
    <t>TASNIM COMPUTERS ANWAR CHOWK WAHCANTT</t>
  </si>
  <si>
    <t>NET PROFIT OF THE MONTH</t>
  </si>
  <si>
    <t>LESS FIXED EXPS:</t>
  </si>
  <si>
    <t>TOTAL FIXED EXPS</t>
  </si>
  <si>
    <t>GROSS PROFIT, FIXED EXPENDITURES AND  NET PROFIT DETAIL</t>
  </si>
  <si>
    <t>Day</t>
  </si>
  <si>
    <t>TELEHPONE BILL</t>
  </si>
  <si>
    <t>MONDAY</t>
  </si>
  <si>
    <t>TUESDAY</t>
  </si>
  <si>
    <t>WEDNESDAY</t>
  </si>
  <si>
    <t>THURSDAY</t>
  </si>
  <si>
    <t>FRIDAY</t>
  </si>
  <si>
    <t>SATURDAY</t>
  </si>
  <si>
    <t>SUNDAY</t>
  </si>
  <si>
    <t>FARHAN BAHI SALARY</t>
  </si>
  <si>
    <t>TASNIM SALARY</t>
  </si>
  <si>
    <t>CHOKIDARA</t>
  </si>
  <si>
    <t>ARSLAN BAHI SALARY</t>
  </si>
  <si>
    <t>REMARKS</t>
  </si>
  <si>
    <t>Actual Net Profit</t>
  </si>
  <si>
    <t>JAZZ POST PAID BILL</t>
  </si>
  <si>
    <t>TELENOR POST PAID BILL</t>
  </si>
  <si>
    <t xml:space="preserve">NET FLEX </t>
  </si>
  <si>
    <t>SALES AND GROSS PROFIT DETAIL DEC-2026</t>
  </si>
  <si>
    <t>SALES AND GROSS PROFIT DETAIL MARCH-2026</t>
  </si>
  <si>
    <t>SALES AND GROSS PROFIT DETAIL APRIL-2026</t>
  </si>
  <si>
    <t>SALES AND GROSS PROFIT DETAIL MAY-2026</t>
  </si>
  <si>
    <t>SALES AND GROSS PROFIT DETAIL JUNE-2026</t>
  </si>
  <si>
    <t>SALES AND GROSS PROFIT DETAIL JULY-2026</t>
  </si>
  <si>
    <t>SALES AND GROSS PROFIT DETAIL AUG-2026</t>
  </si>
  <si>
    <t>SALES AND GROSS PROFIT DETAIL SEP-2026</t>
  </si>
  <si>
    <t>SALES AND GROSS PROFIT DETAIL OCT-2026</t>
  </si>
  <si>
    <t>SALES AND GROSS PROFIT DETAIL NOV-2026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</si>
</sst>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409]mmmm\ d\,\ yyyy;@"/>
    <numFmt numFmtId="165" formatCode="_(* #,##0_);_(* \(#,##0\);_(* &quot;-&quot;??_);_(@_)"/>
    <numFmt numFmtId="166" formatCode="[$-409]d/mmm/yy;@"/>
    <numFmt numFmtId="167" formatCode="[$-409]d\-mmm\-yy;@"/>
  </numFmts>
  <fonts count="15" x14ac:knownFonts="1">
    <font>
      <sz val="10"/>
      <name val="Arial"/>
    </font>
    <font>
      <b/>
      <i/>
      <sz val="20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u/>
      <sz val="14"/>
      <name val="Arial"/>
      <family val="2"/>
    </font>
    <font>
      <b/>
      <sz val="22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4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Arial"/>
    </font>
  </fonts>
  <fills count="10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9" fillId="0" borderId="0" applyFont="0" applyFill="0" applyBorder="0" applyAlignment="0" applyProtection="0"/>
  </cellStyleXfs>
  <cellXfs count="91">
    <xf numFmtId="0" fontId="0" fillId="0" borderId="0" xfId="0"/>
    <xf numFmtId="164" fontId="2" fillId="0" borderId="1" xfId="0" applyNumberFormat="1" applyFont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6" fillId="0" borderId="0" xfId="0" applyFont="1"/>
    <xf numFmtId="0" fontId="2" fillId="4" borderId="4" xfId="0" applyFont="1" applyFill="1" applyBorder="1" applyAlignment="1">
      <alignment horizontal="left"/>
    </xf>
    <xf numFmtId="0" fontId="2" fillId="4" borderId="5" xfId="0" applyFont="1" applyFill="1" applyBorder="1" applyAlignment="1">
      <alignment horizontal="left"/>
    </xf>
    <xf numFmtId="0" fontId="4" fillId="0" borderId="7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2" fillId="5" borderId="9" xfId="0" applyFont="1" applyFill="1" applyBorder="1" applyAlignment="1">
      <alignment horizontal="left"/>
    </xf>
    <xf numFmtId="0" fontId="2" fillId="5" borderId="10" xfId="0" applyFont="1" applyFill="1" applyBorder="1" applyAlignment="1">
      <alignment horizontal="left"/>
    </xf>
    <xf numFmtId="165" fontId="1" fillId="2" borderId="1" xfId="1" applyNumberFormat="1" applyFont="1" applyFill="1" applyBorder="1" applyAlignment="1">
      <alignment horizontal="center"/>
    </xf>
    <xf numFmtId="165" fontId="3" fillId="0" borderId="1" xfId="1" applyNumberFormat="1" applyFont="1" applyBorder="1" applyAlignment="1">
      <alignment horizontal="center"/>
    </xf>
    <xf numFmtId="165" fontId="1" fillId="3" borderId="1" xfId="1" applyNumberFormat="1" applyFont="1" applyFill="1" applyBorder="1" applyAlignment="1">
      <alignment horizontal="center"/>
    </xf>
    <xf numFmtId="165" fontId="0" fillId="0" borderId="0" xfId="1" applyNumberFormat="1" applyFont="1" applyAlignment="1">
      <alignment horizontal="center"/>
    </xf>
    <xf numFmtId="165" fontId="3" fillId="4" borderId="6" xfId="1" applyNumberFormat="1" applyFont="1" applyFill="1" applyBorder="1" applyAlignment="1"/>
    <xf numFmtId="165" fontId="3" fillId="0" borderId="3" xfId="1" applyNumberFormat="1" applyFont="1" applyFill="1" applyBorder="1" applyAlignment="1"/>
    <xf numFmtId="165" fontId="3" fillId="0" borderId="8" xfId="1" applyNumberFormat="1" applyFont="1" applyBorder="1" applyAlignment="1"/>
    <xf numFmtId="165" fontId="2" fillId="0" borderId="8" xfId="1" applyNumberFormat="1" applyFont="1" applyBorder="1" applyAlignment="1"/>
    <xf numFmtId="165" fontId="2" fillId="0" borderId="3" xfId="1" applyNumberFormat="1" applyFont="1" applyFill="1" applyBorder="1" applyAlignment="1"/>
    <xf numFmtId="165" fontId="2" fillId="5" borderId="11" xfId="1" applyNumberFormat="1" applyFont="1" applyFill="1" applyBorder="1" applyAlignment="1"/>
    <xf numFmtId="9" fontId="0" fillId="0" borderId="0" xfId="0" applyNumberFormat="1" applyAlignment="1">
      <alignment horizontal="left"/>
    </xf>
    <xf numFmtId="165" fontId="3" fillId="0" borderId="8" xfId="1" applyNumberFormat="1" applyFont="1" applyFill="1" applyBorder="1" applyAlignment="1"/>
    <xf numFmtId="165" fontId="0" fillId="0" borderId="0" xfId="1" applyNumberFormat="1" applyFont="1" applyFill="1" applyAlignment="1">
      <alignment horizontal="center"/>
    </xf>
    <xf numFmtId="14" fontId="0" fillId="0" borderId="0" xfId="0" applyNumberFormat="1"/>
    <xf numFmtId="165" fontId="0" fillId="0" borderId="0" xfId="1" applyNumberFormat="1" applyFont="1"/>
    <xf numFmtId="0" fontId="0" fillId="0" borderId="0" xfId="0" applyAlignment="1">
      <alignment horizontal="left"/>
    </xf>
    <xf numFmtId="0" fontId="5" fillId="0" borderId="0" xfId="0" applyFont="1"/>
    <xf numFmtId="165" fontId="3" fillId="0" borderId="1" xfId="1" applyNumberFormat="1" applyFont="1" applyFill="1" applyBorder="1" applyAlignment="1">
      <alignment horizontal="center"/>
    </xf>
    <xf numFmtId="165" fontId="0" fillId="0" borderId="0" xfId="1" applyNumberFormat="1" applyFont="1" applyFill="1"/>
    <xf numFmtId="165" fontId="6" fillId="0" borderId="2" xfId="1" applyNumberFormat="1" applyFont="1" applyFill="1" applyBorder="1" applyAlignment="1"/>
    <xf numFmtId="165" fontId="8" fillId="0" borderId="1" xfId="1" applyNumberFormat="1" applyFont="1" applyFill="1" applyBorder="1" applyAlignment="1">
      <alignment horizontal="center"/>
    </xf>
    <xf numFmtId="165" fontId="9" fillId="0" borderId="2" xfId="1" applyNumberFormat="1" applyFont="1" applyFill="1" applyBorder="1" applyAlignment="1"/>
    <xf numFmtId="165" fontId="0" fillId="0" borderId="2" xfId="1" applyNumberFormat="1" applyFont="1" applyFill="1" applyBorder="1" applyAlignment="1"/>
    <xf numFmtId="165" fontId="3" fillId="7" borderId="8" xfId="1" applyNumberFormat="1" applyFont="1" applyFill="1" applyBorder="1" applyAlignment="1"/>
    <xf numFmtId="165" fontId="6" fillId="0" borderId="0" xfId="1" applyNumberFormat="1" applyFont="1" applyFill="1"/>
    <xf numFmtId="165" fontId="0" fillId="7" borderId="0" xfId="1" applyNumberFormat="1" applyFont="1" applyFill="1" applyAlignment="1">
      <alignment horizontal="center"/>
    </xf>
    <xf numFmtId="165" fontId="3" fillId="0" borderId="14" xfId="1" applyNumberFormat="1" applyFont="1" applyBorder="1" applyAlignment="1"/>
    <xf numFmtId="165" fontId="3" fillId="4" borderId="13" xfId="1" applyNumberFormat="1" applyFont="1" applyFill="1" applyBorder="1" applyAlignment="1"/>
    <xf numFmtId="0" fontId="4" fillId="0" borderId="15" xfId="0" applyFont="1" applyBorder="1" applyAlignment="1">
      <alignment horizontal="left"/>
    </xf>
    <xf numFmtId="0" fontId="4" fillId="0" borderId="16" xfId="0" applyFont="1" applyBorder="1" applyAlignment="1">
      <alignment horizontal="left"/>
    </xf>
    <xf numFmtId="0" fontId="2" fillId="5" borderId="21" xfId="0" applyFont="1" applyFill="1" applyBorder="1" applyAlignment="1">
      <alignment horizontal="left"/>
    </xf>
    <xf numFmtId="0" fontId="2" fillId="5" borderId="22" xfId="0" applyFont="1" applyFill="1" applyBorder="1" applyAlignment="1">
      <alignment horizontal="left"/>
    </xf>
    <xf numFmtId="165" fontId="2" fillId="5" borderId="24" xfId="1" applyNumberFormat="1" applyFont="1" applyFill="1" applyBorder="1" applyAlignment="1"/>
    <xf numFmtId="165" fontId="2" fillId="0" borderId="13" xfId="1" applyNumberFormat="1" applyFont="1" applyBorder="1" applyAlignment="1"/>
    <xf numFmtId="165" fontId="3" fillId="0" borderId="23" xfId="1" applyNumberFormat="1" applyFont="1" applyFill="1" applyBorder="1" applyAlignment="1"/>
    <xf numFmtId="165" fontId="6" fillId="0" borderId="0" xfId="1" applyNumberFormat="1" applyFont="1" applyFill="1" applyBorder="1" applyAlignment="1"/>
    <xf numFmtId="165" fontId="0" fillId="0" borderId="0" xfId="1" applyNumberFormat="1" applyFont="1" applyFill="1" applyBorder="1" applyAlignment="1"/>
    <xf numFmtId="165" fontId="6" fillId="0" borderId="0" xfId="1" applyNumberFormat="1" applyFont="1" applyAlignment="1">
      <alignment horizontal="center" vertical="center"/>
    </xf>
    <xf numFmtId="166" fontId="0" fillId="0" borderId="0" xfId="0" applyNumberFormat="1" applyAlignment="1">
      <alignment horizontal="left"/>
    </xf>
    <xf numFmtId="166" fontId="1" fillId="2" borderId="1" xfId="0" applyNumberFormat="1" applyFont="1" applyFill="1" applyBorder="1" applyAlignment="1">
      <alignment horizontal="center"/>
    </xf>
    <xf numFmtId="166" fontId="2" fillId="0" borderId="1" xfId="0" applyNumberFormat="1" applyFont="1" applyBorder="1" applyAlignment="1">
      <alignment horizontal="left"/>
    </xf>
    <xf numFmtId="166" fontId="1" fillId="3" borderId="1" xfId="0" applyNumberFormat="1" applyFont="1" applyFill="1" applyBorder="1" applyAlignment="1">
      <alignment horizontal="center"/>
    </xf>
    <xf numFmtId="166" fontId="4" fillId="0" borderId="15" xfId="0" applyNumberFormat="1" applyFont="1" applyBorder="1" applyAlignment="1">
      <alignment horizontal="left"/>
    </xf>
    <xf numFmtId="166" fontId="2" fillId="5" borderId="21" xfId="0" applyNumberFormat="1" applyFont="1" applyFill="1" applyBorder="1" applyAlignment="1">
      <alignment horizontal="left"/>
    </xf>
    <xf numFmtId="166" fontId="0" fillId="0" borderId="0" xfId="0" applyNumberFormat="1"/>
    <xf numFmtId="165" fontId="6" fillId="6" borderId="0" xfId="1" applyNumberFormat="1" applyFont="1" applyFill="1" applyAlignment="1">
      <alignment horizontal="center" vertical="center"/>
    </xf>
    <xf numFmtId="167" fontId="2" fillId="0" borderId="1" xfId="0" applyNumberFormat="1" applyFont="1" applyBorder="1" applyAlignment="1">
      <alignment horizontal="left"/>
    </xf>
    <xf numFmtId="0" fontId="6" fillId="0" borderId="0" xfId="0" applyFont="1" applyFill="1"/>
    <xf numFmtId="165" fontId="2" fillId="9" borderId="24" xfId="1" applyNumberFormat="1" applyFont="1" applyFill="1" applyBorder="1" applyAlignment="1"/>
    <xf numFmtId="0" fontId="0" fillId="0" borderId="0" xfId="0" applyFill="1"/>
    <xf numFmtId="165" fontId="2" fillId="0" borderId="8" xfId="1" applyNumberFormat="1" applyFont="1" applyFill="1" applyBorder="1" applyAlignment="1"/>
    <xf numFmtId="165" fontId="3" fillId="0" borderId="25" xfId="1" applyNumberFormat="1" applyFont="1" applyFill="1" applyBorder="1" applyAlignment="1">
      <alignment horizontal="center"/>
    </xf>
    <xf numFmtId="0" fontId="3" fillId="0" borderId="1" xfId="0" applyFont="1" applyFill="1" applyBorder="1"/>
    <xf numFmtId="0" fontId="3" fillId="0" borderId="1" xfId="0" applyFont="1" applyFill="1" applyBorder="1" applyAlignment="1">
      <alignment horizontal="right" vertical="center"/>
    </xf>
    <xf numFmtId="0" fontId="2" fillId="0" borderId="1" xfId="0" applyFont="1" applyFill="1" applyBorder="1"/>
    <xf numFmtId="165" fontId="9" fillId="0" borderId="0" xfId="1" applyNumberFormat="1" applyFont="1" applyFill="1" applyBorder="1" applyAlignment="1"/>
    <xf numFmtId="165" fontId="6" fillId="6" borderId="0" xfId="1" applyNumberFormat="1" applyFont="1" applyFill="1"/>
    <xf numFmtId="165" fontId="6" fillId="6" borderId="2" xfId="1" applyNumberFormat="1" applyFont="1" applyFill="1" applyBorder="1" applyAlignment="1"/>
    <xf numFmtId="165" fontId="0" fillId="6" borderId="2" xfId="1" applyNumberFormat="1" applyFont="1" applyFill="1" applyBorder="1" applyAlignment="1"/>
    <xf numFmtId="165" fontId="3" fillId="7" borderId="23" xfId="1" applyNumberFormat="1" applyFont="1" applyFill="1" applyBorder="1" applyAlignment="1"/>
    <xf numFmtId="0" fontId="2" fillId="8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3" fillId="0" borderId="1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4" fillId="0" borderId="12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7" fillId="8" borderId="0" xfId="0" applyFont="1" applyFill="1" applyAlignment="1">
      <alignment horizontal="center"/>
    </xf>
    <xf numFmtId="0" fontId="3" fillId="0" borderId="12" xfId="0" applyFont="1" applyBorder="1" applyAlignment="1">
      <alignment horizontal="left" vertical="top"/>
    </xf>
    <xf numFmtId="0" fontId="3" fillId="0" borderId="3" xfId="0" applyFont="1" applyBorder="1" applyAlignment="1">
      <alignment horizontal="left" vertical="top"/>
    </xf>
    <xf numFmtId="0" fontId="3" fillId="0" borderId="19" xfId="0" applyFont="1" applyBorder="1" applyAlignment="1">
      <alignment horizontal="left" vertical="top"/>
    </xf>
    <xf numFmtId="0" fontId="3" fillId="0" borderId="20" xfId="0" applyFont="1" applyBorder="1" applyAlignment="1">
      <alignment horizontal="left" vertical="top"/>
    </xf>
    <xf numFmtId="0" fontId="2" fillId="0" borderId="17" xfId="0" applyFont="1" applyBorder="1" applyAlignment="1">
      <alignment horizontal="left" vertical="top"/>
    </xf>
    <xf numFmtId="0" fontId="2" fillId="0" borderId="18" xfId="0" applyFont="1" applyBorder="1" applyAlignment="1">
      <alignment horizontal="left" vertical="top"/>
    </xf>
    <xf numFmtId="0" fontId="2" fillId="4" borderId="17" xfId="0" applyFont="1" applyFill="1" applyBorder="1" applyAlignment="1">
      <alignment horizontal="left" vertical="top"/>
    </xf>
    <xf numFmtId="0" fontId="2" fillId="4" borderId="18" xfId="0" applyFont="1" applyFill="1" applyBorder="1" applyAlignment="1">
      <alignment horizontal="left" vertical="top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E8346-ACF7-4DA9-AB1C-0A4B47217530}">
  <dimension ref="B1:J60"/>
  <sheetViews>
    <sheetView zoomScale="85" zoomScaleNormal="85" workbookViewId="0">
      <pane ySplit="5" topLeftCell="A33" activePane="bottomLeft" state="frozen"/>
      <selection activeCell="B1" sqref="B1"/>
      <selection pane="bottomLeft" activeCell="B2" sqref="B2"/>
    </sheetView>
  </sheetViews>
  <sheetFormatPr defaultRowHeight="12.75" x14ac:dyDescent="0.2"/>
  <cols>
    <col min="2" max="2" width="40.42578125" style="30" bestFit="1" customWidth="1"/>
    <col min="3" max="3" width="19.140625" style="30" bestFit="1" customWidth="1"/>
    <col min="4" max="4" width="23.42578125" style="18" bestFit="1" customWidth="1"/>
    <col min="5" max="5" width="20" style="18" bestFit="1" customWidth="1"/>
    <col min="6" max="6" width="17.7109375" style="29" bestFit="1" customWidth="1"/>
    <col min="7" max="7" width="12" customWidth="1"/>
  </cols>
  <sheetData>
    <row r="1" spans="2:9" ht="27.75" x14ac:dyDescent="0.4">
      <c r="B1" s="76" t="s">
        <v>7</v>
      </c>
      <c r="C1" s="76"/>
      <c r="D1" s="76"/>
      <c r="E1" s="76"/>
      <c r="F1" s="76"/>
      <c r="G1" s="31"/>
      <c r="H1" s="31"/>
      <c r="I1" s="31"/>
    </row>
    <row r="3" spans="2:9" ht="18" x14ac:dyDescent="0.25">
      <c r="B3" s="75" t="s">
        <v>31</v>
      </c>
      <c r="C3" s="75"/>
      <c r="D3" s="75"/>
      <c r="E3" s="75"/>
      <c r="F3" s="75"/>
    </row>
    <row r="5" spans="2:9" ht="25.5" x14ac:dyDescent="0.35">
      <c r="B5" s="2" t="s">
        <v>0</v>
      </c>
      <c r="C5" s="2" t="s">
        <v>12</v>
      </c>
      <c r="D5" s="15" t="s">
        <v>1</v>
      </c>
      <c r="E5" s="15" t="s">
        <v>2</v>
      </c>
      <c r="F5" s="29" t="s">
        <v>25</v>
      </c>
    </row>
    <row r="6" spans="2:9" ht="18" x14ac:dyDescent="0.25">
      <c r="B6" s="1">
        <v>46082</v>
      </c>
      <c r="C6" s="1" t="s">
        <v>20</v>
      </c>
      <c r="D6" s="32">
        <v>15000</v>
      </c>
      <c r="E6" s="32">
        <v>2700</v>
      </c>
      <c r="F6" s="71">
        <v>1500</v>
      </c>
    </row>
    <row r="7" spans="2:9" ht="18" x14ac:dyDescent="0.25">
      <c r="B7" s="1">
        <v>46083</v>
      </c>
      <c r="C7" s="1" t="s">
        <v>14</v>
      </c>
      <c r="D7" s="32">
        <v>3100</v>
      </c>
      <c r="E7" s="32">
        <v>700</v>
      </c>
      <c r="F7" s="34"/>
      <c r="G7" s="7"/>
    </row>
    <row r="8" spans="2:9" ht="18" x14ac:dyDescent="0.25">
      <c r="B8" s="1">
        <v>46084</v>
      </c>
      <c r="C8" s="1" t="s">
        <v>15</v>
      </c>
      <c r="D8" s="35">
        <v>36510</v>
      </c>
      <c r="E8" s="35">
        <v>5980</v>
      </c>
      <c r="F8" s="34"/>
    </row>
    <row r="9" spans="2:9" ht="18" x14ac:dyDescent="0.25">
      <c r="B9" s="1">
        <v>46085</v>
      </c>
      <c r="C9" s="1" t="s">
        <v>16</v>
      </c>
      <c r="D9" s="32">
        <v>600</v>
      </c>
      <c r="E9" s="32">
        <v>200</v>
      </c>
      <c r="F9" s="33"/>
    </row>
    <row r="10" spans="2:9" ht="18" x14ac:dyDescent="0.25">
      <c r="B10" s="1">
        <v>46086</v>
      </c>
      <c r="C10" s="1" t="s">
        <v>17</v>
      </c>
      <c r="D10" s="32">
        <v>13900</v>
      </c>
      <c r="E10" s="32">
        <v>4000</v>
      </c>
      <c r="F10" s="33"/>
    </row>
    <row r="11" spans="2:9" ht="18" x14ac:dyDescent="0.25">
      <c r="B11" s="1">
        <v>46087</v>
      </c>
      <c r="C11" s="1" t="s">
        <v>18</v>
      </c>
      <c r="D11" s="32">
        <v>8900</v>
      </c>
      <c r="E11" s="32">
        <v>1300</v>
      </c>
      <c r="F11" s="34"/>
      <c r="G11" s="7"/>
    </row>
    <row r="12" spans="2:9" ht="18" x14ac:dyDescent="0.25">
      <c r="B12" s="1">
        <v>46088</v>
      </c>
      <c r="C12" s="1" t="s">
        <v>19</v>
      </c>
      <c r="D12" s="32">
        <v>9900</v>
      </c>
      <c r="E12" s="32">
        <v>2800</v>
      </c>
      <c r="F12" s="34"/>
      <c r="G12" s="7"/>
      <c r="H12" s="7"/>
    </row>
    <row r="13" spans="2:9" ht="18" x14ac:dyDescent="0.25">
      <c r="B13" s="1">
        <v>46089</v>
      </c>
      <c r="C13" s="1" t="s">
        <v>20</v>
      </c>
      <c r="D13" s="32">
        <v>3800</v>
      </c>
      <c r="E13" s="32">
        <v>2000</v>
      </c>
      <c r="F13" s="34"/>
      <c r="G13" s="7"/>
      <c r="H13" s="7"/>
    </row>
    <row r="14" spans="2:9" ht="18" x14ac:dyDescent="0.25">
      <c r="B14" s="1">
        <v>46090</v>
      </c>
      <c r="C14" s="1" t="s">
        <v>14</v>
      </c>
      <c r="D14" s="32">
        <v>4150</v>
      </c>
      <c r="E14" s="32">
        <v>1450</v>
      </c>
      <c r="F14" s="34"/>
      <c r="G14" s="7"/>
      <c r="H14" s="7"/>
    </row>
    <row r="15" spans="2:9" ht="18" x14ac:dyDescent="0.25">
      <c r="B15" s="1">
        <v>46091</v>
      </c>
      <c r="C15" s="1" t="s">
        <v>15</v>
      </c>
      <c r="D15" s="32">
        <v>13240</v>
      </c>
      <c r="E15" s="32">
        <v>3340</v>
      </c>
      <c r="F15" s="34"/>
      <c r="G15" s="7"/>
    </row>
    <row r="16" spans="2:9" ht="18" x14ac:dyDescent="0.25">
      <c r="B16" s="1">
        <v>46092</v>
      </c>
      <c r="C16" s="1" t="s">
        <v>16</v>
      </c>
      <c r="D16" s="32">
        <v>9300</v>
      </c>
      <c r="E16" s="32">
        <v>3500</v>
      </c>
      <c r="F16" s="34"/>
      <c r="G16" s="7"/>
    </row>
    <row r="17" spans="2:7" ht="18" x14ac:dyDescent="0.25">
      <c r="B17" s="1">
        <v>46093</v>
      </c>
      <c r="C17" s="1" t="s">
        <v>17</v>
      </c>
      <c r="D17" s="32">
        <v>28900</v>
      </c>
      <c r="E17" s="32">
        <v>5750</v>
      </c>
      <c r="F17" s="39"/>
    </row>
    <row r="18" spans="2:7" ht="18" x14ac:dyDescent="0.25">
      <c r="B18" s="1">
        <v>46094</v>
      </c>
      <c r="C18" s="1" t="s">
        <v>18</v>
      </c>
      <c r="D18" s="32">
        <v>1200</v>
      </c>
      <c r="E18" s="32">
        <v>300</v>
      </c>
      <c r="F18" s="39"/>
    </row>
    <row r="19" spans="2:7" ht="18" x14ac:dyDescent="0.25">
      <c r="B19" s="1">
        <v>46095</v>
      </c>
      <c r="C19" s="1" t="s">
        <v>19</v>
      </c>
      <c r="D19" s="32">
        <v>14500</v>
      </c>
      <c r="E19" s="32">
        <v>3550</v>
      </c>
      <c r="F19" s="39"/>
    </row>
    <row r="20" spans="2:7" ht="18" x14ac:dyDescent="0.25">
      <c r="B20" s="1">
        <v>46096</v>
      </c>
      <c r="C20" s="1" t="s">
        <v>20</v>
      </c>
      <c r="D20" s="32">
        <v>23000</v>
      </c>
      <c r="E20" s="32">
        <v>3350</v>
      </c>
      <c r="F20" s="71">
        <v>15000</v>
      </c>
    </row>
    <row r="21" spans="2:7" ht="18" x14ac:dyDescent="0.25">
      <c r="B21" s="1">
        <v>46097</v>
      </c>
      <c r="C21" s="1" t="s">
        <v>14</v>
      </c>
      <c r="D21" s="32">
        <v>5400</v>
      </c>
      <c r="E21" s="32">
        <v>1500</v>
      </c>
      <c r="F21" s="36"/>
      <c r="G21" s="7"/>
    </row>
    <row r="22" spans="2:7" ht="18" x14ac:dyDescent="0.25">
      <c r="B22" s="1">
        <v>46098</v>
      </c>
      <c r="C22" s="1" t="s">
        <v>15</v>
      </c>
      <c r="D22" s="32">
        <v>47700</v>
      </c>
      <c r="E22" s="32">
        <v>12950</v>
      </c>
      <c r="F22" s="36"/>
      <c r="G22" s="7"/>
    </row>
    <row r="23" spans="2:7" ht="18" x14ac:dyDescent="0.25">
      <c r="B23" s="1">
        <v>46099</v>
      </c>
      <c r="C23" s="1" t="s">
        <v>16</v>
      </c>
      <c r="D23" s="32">
        <v>3750</v>
      </c>
      <c r="E23" s="32">
        <v>1170</v>
      </c>
      <c r="F23" s="34"/>
      <c r="G23" s="7"/>
    </row>
    <row r="24" spans="2:7" ht="18" x14ac:dyDescent="0.25">
      <c r="B24" s="1">
        <v>46100</v>
      </c>
      <c r="C24" s="1" t="s">
        <v>17</v>
      </c>
      <c r="D24" s="32">
        <v>7700</v>
      </c>
      <c r="E24" s="32">
        <v>2750</v>
      </c>
      <c r="F24" s="39"/>
    </row>
    <row r="25" spans="2:7" ht="18" x14ac:dyDescent="0.25">
      <c r="B25" s="1">
        <v>46101</v>
      </c>
      <c r="C25" s="1" t="s">
        <v>18</v>
      </c>
      <c r="D25" s="32">
        <v>9000</v>
      </c>
      <c r="E25" s="32">
        <v>2700</v>
      </c>
      <c r="F25" s="37"/>
    </row>
    <row r="26" spans="2:7" ht="18" x14ac:dyDescent="0.25">
      <c r="B26" s="1">
        <v>46102</v>
      </c>
      <c r="C26" s="1" t="s">
        <v>19</v>
      </c>
      <c r="D26" s="32">
        <v>0</v>
      </c>
      <c r="E26" s="32">
        <v>0</v>
      </c>
      <c r="F26" s="37"/>
    </row>
    <row r="27" spans="2:7" ht="18" x14ac:dyDescent="0.25">
      <c r="B27" s="1">
        <v>46103</v>
      </c>
      <c r="C27" s="1" t="s">
        <v>20</v>
      </c>
      <c r="D27" s="32">
        <v>0</v>
      </c>
      <c r="E27" s="32">
        <v>0</v>
      </c>
      <c r="F27" s="34"/>
    </row>
    <row r="28" spans="2:7" ht="18" x14ac:dyDescent="0.25">
      <c r="B28" s="1">
        <v>46104</v>
      </c>
      <c r="C28" s="1" t="s">
        <v>14</v>
      </c>
      <c r="D28" s="32">
        <v>0</v>
      </c>
      <c r="E28" s="32">
        <v>0</v>
      </c>
      <c r="F28" s="33"/>
    </row>
    <row r="29" spans="2:7" ht="18" x14ac:dyDescent="0.25">
      <c r="B29" s="1">
        <v>46105</v>
      </c>
      <c r="C29" s="1" t="s">
        <v>15</v>
      </c>
      <c r="D29" s="32">
        <v>21700</v>
      </c>
      <c r="E29" s="32">
        <v>2800</v>
      </c>
      <c r="F29" s="39"/>
    </row>
    <row r="30" spans="2:7" ht="18" x14ac:dyDescent="0.25">
      <c r="B30" s="1">
        <v>46106</v>
      </c>
      <c r="C30" s="1" t="s">
        <v>16</v>
      </c>
      <c r="D30" s="32">
        <v>117950</v>
      </c>
      <c r="E30" s="32">
        <v>22370</v>
      </c>
      <c r="F30" s="34"/>
      <c r="G30" s="7"/>
    </row>
    <row r="31" spans="2:7" ht="18" x14ac:dyDescent="0.25">
      <c r="B31" s="1">
        <v>46107</v>
      </c>
      <c r="C31" s="1" t="s">
        <v>17</v>
      </c>
      <c r="D31" s="32">
        <v>17350</v>
      </c>
      <c r="E31" s="32">
        <v>3800</v>
      </c>
      <c r="F31" s="33"/>
    </row>
    <row r="32" spans="2:7" ht="18" x14ac:dyDescent="0.25">
      <c r="B32" s="1">
        <v>46108</v>
      </c>
      <c r="C32" s="1" t="s">
        <v>18</v>
      </c>
      <c r="D32" s="32">
        <v>4750</v>
      </c>
      <c r="E32" s="32">
        <v>1070</v>
      </c>
      <c r="F32" s="33"/>
    </row>
    <row r="33" spans="2:10" ht="18" x14ac:dyDescent="0.25">
      <c r="B33" s="1">
        <v>46109</v>
      </c>
      <c r="C33" s="1" t="s">
        <v>19</v>
      </c>
      <c r="D33" s="32">
        <v>10400</v>
      </c>
      <c r="E33" s="32">
        <v>3100</v>
      </c>
      <c r="F33" s="33"/>
    </row>
    <row r="34" spans="2:10" ht="18" x14ac:dyDescent="0.25">
      <c r="B34" s="1">
        <v>46110</v>
      </c>
      <c r="C34" s="1" t="s">
        <v>20</v>
      </c>
      <c r="D34" s="32">
        <v>16150</v>
      </c>
      <c r="E34" s="32">
        <v>4040</v>
      </c>
      <c r="F34" s="39"/>
    </row>
    <row r="35" spans="2:10" ht="18" x14ac:dyDescent="0.25">
      <c r="B35" s="1">
        <v>46111</v>
      </c>
      <c r="C35" s="1" t="s">
        <v>14</v>
      </c>
      <c r="D35" s="32">
        <v>7100</v>
      </c>
      <c r="E35" s="32">
        <v>1900</v>
      </c>
      <c r="F35" s="37"/>
    </row>
    <row r="36" spans="2:10" ht="18" x14ac:dyDescent="0.25">
      <c r="B36" s="1">
        <v>46112</v>
      </c>
      <c r="C36" s="1" t="s">
        <v>15</v>
      </c>
      <c r="D36" s="32">
        <v>12150</v>
      </c>
      <c r="E36" s="32">
        <v>2700</v>
      </c>
      <c r="F36" s="71">
        <v>15000</v>
      </c>
      <c r="J36" s="28"/>
    </row>
    <row r="37" spans="2:10" ht="25.5" x14ac:dyDescent="0.35">
      <c r="B37" s="3" t="s">
        <v>3</v>
      </c>
      <c r="C37" s="3"/>
      <c r="D37" s="17">
        <f>SUM(D6:D36)</f>
        <v>467100</v>
      </c>
      <c r="E37" s="17">
        <f>SUM(E6:E36)</f>
        <v>103770</v>
      </c>
      <c r="F37" s="17">
        <f>SUM(F6:F36)</f>
        <v>31500</v>
      </c>
    </row>
    <row r="39" spans="2:10" ht="15.75" x14ac:dyDescent="0.25">
      <c r="B39" s="77" t="s">
        <v>11</v>
      </c>
      <c r="C39" s="77"/>
      <c r="D39" s="77"/>
      <c r="E39" s="77"/>
      <c r="F39" s="77"/>
    </row>
    <row r="40" spans="2:10" ht="13.5" thickBot="1" x14ac:dyDescent="0.25"/>
    <row r="41" spans="2:10" ht="18" x14ac:dyDescent="0.25">
      <c r="B41" s="8" t="s">
        <v>4</v>
      </c>
      <c r="C41" s="9"/>
      <c r="D41" s="19">
        <f>E37</f>
        <v>103770</v>
      </c>
      <c r="E41" s="20"/>
    </row>
    <row r="42" spans="2:10" ht="18" x14ac:dyDescent="0.25">
      <c r="B42" s="10" t="s">
        <v>9</v>
      </c>
      <c r="C42" s="4"/>
      <c r="D42" s="21"/>
      <c r="E42" s="20"/>
    </row>
    <row r="43" spans="2:10" ht="18" x14ac:dyDescent="0.25">
      <c r="B43" s="10" t="s">
        <v>29</v>
      </c>
      <c r="C43" s="4"/>
      <c r="D43" s="26"/>
      <c r="E43" s="20"/>
    </row>
    <row r="44" spans="2:10" ht="18" x14ac:dyDescent="0.25">
      <c r="B44" s="11" t="s">
        <v>5</v>
      </c>
      <c r="C44" s="5"/>
      <c r="D44" s="38">
        <v>25000</v>
      </c>
      <c r="E44" s="20"/>
    </row>
    <row r="45" spans="2:10" ht="18" x14ac:dyDescent="0.25">
      <c r="B45" s="11" t="s">
        <v>6</v>
      </c>
      <c r="C45" s="5"/>
      <c r="D45" s="38">
        <v>4865</v>
      </c>
      <c r="E45" s="20"/>
    </row>
    <row r="46" spans="2:10" ht="18" x14ac:dyDescent="0.25">
      <c r="B46" s="11" t="s">
        <v>13</v>
      </c>
      <c r="C46" s="5"/>
      <c r="D46" s="38">
        <v>4000</v>
      </c>
      <c r="E46" s="20"/>
    </row>
    <row r="47" spans="2:10" ht="18" x14ac:dyDescent="0.25">
      <c r="B47" s="11" t="s">
        <v>21</v>
      </c>
      <c r="C47" s="5"/>
      <c r="D47" s="38">
        <v>30000</v>
      </c>
      <c r="E47" s="20"/>
    </row>
    <row r="48" spans="2:10" ht="18" x14ac:dyDescent="0.25">
      <c r="B48" s="11" t="s">
        <v>22</v>
      </c>
      <c r="C48" s="5"/>
      <c r="D48" s="38">
        <v>31500</v>
      </c>
      <c r="E48" s="20"/>
    </row>
    <row r="49" spans="2:5" ht="18" x14ac:dyDescent="0.25">
      <c r="B49" s="11" t="s">
        <v>24</v>
      </c>
      <c r="C49" s="5"/>
      <c r="D49" s="38">
        <v>15000</v>
      </c>
      <c r="E49" s="20"/>
    </row>
    <row r="50" spans="2:5" ht="18" x14ac:dyDescent="0.25">
      <c r="B50" s="11" t="s">
        <v>23</v>
      </c>
      <c r="C50" s="5"/>
      <c r="D50" s="38">
        <v>300</v>
      </c>
      <c r="E50" s="20"/>
    </row>
    <row r="51" spans="2:5" ht="18" x14ac:dyDescent="0.25">
      <c r="B51" s="11" t="s">
        <v>27</v>
      </c>
      <c r="C51" s="5"/>
      <c r="D51" s="26">
        <v>0</v>
      </c>
      <c r="E51" s="20"/>
    </row>
    <row r="52" spans="2:5" ht="18" x14ac:dyDescent="0.25">
      <c r="B52" s="11" t="s">
        <v>28</v>
      </c>
      <c r="C52" s="5"/>
      <c r="D52" s="38">
        <v>1200</v>
      </c>
      <c r="E52" s="20"/>
    </row>
    <row r="53" spans="2:5" ht="18" x14ac:dyDescent="0.25">
      <c r="B53" s="12" t="s">
        <v>10</v>
      </c>
      <c r="C53" s="6"/>
      <c r="D53" s="65">
        <f>SUM(D43:D52)</f>
        <v>111865</v>
      </c>
      <c r="E53" s="23"/>
    </row>
    <row r="54" spans="2:5" ht="18.75" thickBot="1" x14ac:dyDescent="0.3">
      <c r="B54" s="13" t="s">
        <v>8</v>
      </c>
      <c r="C54" s="14"/>
      <c r="D54" s="24">
        <f>D41-D53</f>
        <v>-8095</v>
      </c>
      <c r="E54" s="23"/>
    </row>
    <row r="55" spans="2:5" x14ac:dyDescent="0.2">
      <c r="B55" s="25">
        <v>0.15</v>
      </c>
      <c r="D55" s="27">
        <f>15%*D54</f>
        <v>-1214.25</v>
      </c>
      <c r="E55" s="27"/>
    </row>
    <row r="56" spans="2:5" x14ac:dyDescent="0.2">
      <c r="B56" s="30" t="s">
        <v>26</v>
      </c>
      <c r="D56" s="27">
        <f>D54-D55</f>
        <v>-6880.75</v>
      </c>
      <c r="E56" s="27"/>
    </row>
    <row r="57" spans="2:5" x14ac:dyDescent="0.2">
      <c r="E57" s="27"/>
    </row>
    <row r="58" spans="2:5" x14ac:dyDescent="0.2">
      <c r="E58" s="27"/>
    </row>
    <row r="59" spans="2:5" x14ac:dyDescent="0.2">
      <c r="E59" s="27"/>
    </row>
    <row r="60" spans="2:5" x14ac:dyDescent="0.2">
      <c r="E60" s="27"/>
    </row>
  </sheetData>
  <autoFilter ref="B5:E5" xr:uid="{00000000-0001-0000-0800-000000000000}"/>
  <mergeCells count="3">
    <mergeCell ref="B1:F1"/>
    <mergeCell ref="B3:F3"/>
    <mergeCell ref="B39:F39"/>
  </mergeCells>
  <phoneticPr fontId="10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2AD67-0BEB-44C1-8DD2-FD529FA57CE1}">
  <dimension ref="B1:F56"/>
  <sheetViews>
    <sheetView topLeftCell="A37" zoomScale="82" zoomScaleNormal="82" workbookViewId="0">
      <selection activeCell="D45" sqref="D45"/>
    </sheetView>
  </sheetViews>
  <sheetFormatPr defaultRowHeight="12.75" x14ac:dyDescent="0.2"/>
  <cols>
    <col min="1" max="1" width="9.140625" customWidth="1"/>
    <col min="2" max="2" width="22.140625" customWidth="1"/>
    <col min="3" max="3" width="20.140625" customWidth="1"/>
    <col min="4" max="4" width="19.7109375" customWidth="1"/>
    <col min="5" max="5" width="21.28515625" customWidth="1"/>
    <col min="6" max="6" width="19" customWidth="1"/>
  </cols>
  <sheetData>
    <row r="1" spans="2:6" ht="27.75" x14ac:dyDescent="0.4">
      <c r="B1" s="76" t="s">
        <v>7</v>
      </c>
      <c r="C1" s="76"/>
      <c r="D1" s="76"/>
      <c r="E1" s="76"/>
      <c r="F1" s="76"/>
    </row>
    <row r="2" spans="2:6" x14ac:dyDescent="0.2">
      <c r="B2" s="30"/>
      <c r="C2" s="30"/>
      <c r="D2" s="18"/>
      <c r="E2" s="18"/>
      <c r="F2" s="29"/>
    </row>
    <row r="3" spans="2:6" ht="18" x14ac:dyDescent="0.25">
      <c r="B3" s="75" t="s">
        <v>32</v>
      </c>
      <c r="C3" s="75"/>
      <c r="D3" s="75"/>
      <c r="E3" s="75"/>
      <c r="F3" s="75"/>
    </row>
    <row r="4" spans="2:6" x14ac:dyDescent="0.2">
      <c r="B4" s="30"/>
      <c r="C4" s="30"/>
      <c r="D4" s="18"/>
      <c r="E4" s="18"/>
      <c r="F4" s="29"/>
    </row>
    <row r="5" spans="2:6" ht="25.5" x14ac:dyDescent="0.35">
      <c r="B5" s="2" t="s">
        <v>0</v>
      </c>
      <c r="C5" s="2" t="s">
        <v>12</v>
      </c>
      <c r="D5" s="15" t="s">
        <v>1</v>
      </c>
      <c r="E5" s="15" t="s">
        <v>2</v>
      </c>
      <c r="F5" s="29" t="s">
        <v>25</v>
      </c>
    </row>
    <row r="6" spans="2:6" ht="18" x14ac:dyDescent="0.25">
      <c r="B6" s="1">
        <v>46113</v>
      </c>
      <c r="C6" s="1" t="s">
        <v>16</v>
      </c>
      <c r="D6" s="32">
        <v>15700</v>
      </c>
      <c r="E6" s="32">
        <v>5580</v>
      </c>
      <c r="F6" s="71">
        <v>5000</v>
      </c>
    </row>
    <row r="7" spans="2:6" ht="18" x14ac:dyDescent="0.25">
      <c r="B7" s="1">
        <v>46114</v>
      </c>
      <c r="C7" s="1" t="s">
        <v>17</v>
      </c>
      <c r="D7" s="35">
        <v>17530</v>
      </c>
      <c r="E7" s="35">
        <v>4120</v>
      </c>
      <c r="F7" s="72">
        <v>600</v>
      </c>
    </row>
    <row r="8" spans="2:6" ht="18" x14ac:dyDescent="0.25">
      <c r="B8" s="1">
        <v>46115</v>
      </c>
      <c r="C8" s="1" t="s">
        <v>18</v>
      </c>
      <c r="D8" s="32">
        <v>3900</v>
      </c>
      <c r="E8" s="32">
        <v>1100</v>
      </c>
      <c r="F8" s="34"/>
    </row>
    <row r="9" spans="2:6" ht="18" x14ac:dyDescent="0.25">
      <c r="B9" s="1">
        <v>46116</v>
      </c>
      <c r="C9" s="1" t="s">
        <v>19</v>
      </c>
      <c r="D9" s="32">
        <v>96400</v>
      </c>
      <c r="E9" s="32">
        <v>18300</v>
      </c>
      <c r="F9" s="33"/>
    </row>
    <row r="10" spans="2:6" ht="18" x14ac:dyDescent="0.25">
      <c r="B10" s="1">
        <v>46117</v>
      </c>
      <c r="C10" s="1" t="s">
        <v>20</v>
      </c>
      <c r="D10" s="32">
        <v>1050</v>
      </c>
      <c r="E10" s="32">
        <v>500</v>
      </c>
      <c r="F10" s="33"/>
    </row>
    <row r="11" spans="2:6" ht="18" x14ac:dyDescent="0.25">
      <c r="B11" s="1">
        <v>46118</v>
      </c>
      <c r="C11" s="1" t="s">
        <v>14</v>
      </c>
      <c r="D11" s="16">
        <v>19100</v>
      </c>
      <c r="E11" s="66">
        <v>4000</v>
      </c>
      <c r="F11" s="34"/>
    </row>
    <row r="12" spans="2:6" ht="18" x14ac:dyDescent="0.25">
      <c r="B12" s="1">
        <v>46119</v>
      </c>
      <c r="C12" s="1" t="s">
        <v>15</v>
      </c>
      <c r="D12" s="66">
        <v>67250</v>
      </c>
      <c r="E12" s="32">
        <v>7050</v>
      </c>
      <c r="F12" s="34"/>
    </row>
    <row r="13" spans="2:6" ht="18" x14ac:dyDescent="0.25">
      <c r="B13" s="1">
        <v>46120</v>
      </c>
      <c r="C13" s="1" t="s">
        <v>16</v>
      </c>
      <c r="D13" s="16">
        <v>65500</v>
      </c>
      <c r="E13" s="32">
        <v>9100</v>
      </c>
      <c r="F13" s="34"/>
    </row>
    <row r="14" spans="2:6" ht="18" x14ac:dyDescent="0.25">
      <c r="B14" s="1">
        <v>46121</v>
      </c>
      <c r="C14" s="1" t="s">
        <v>17</v>
      </c>
      <c r="D14" s="16">
        <v>20450</v>
      </c>
      <c r="E14" s="32">
        <v>5370</v>
      </c>
      <c r="F14" s="34"/>
    </row>
    <row r="15" spans="2:6" ht="18" x14ac:dyDescent="0.25">
      <c r="B15" s="1">
        <v>46122</v>
      </c>
      <c r="C15" s="1" t="s">
        <v>18</v>
      </c>
      <c r="D15" s="16">
        <v>0</v>
      </c>
      <c r="E15" s="32">
        <v>0</v>
      </c>
      <c r="F15" s="34"/>
    </row>
    <row r="16" spans="2:6" ht="18" x14ac:dyDescent="0.25">
      <c r="B16" s="1">
        <v>46123</v>
      </c>
      <c r="C16" s="1" t="s">
        <v>19</v>
      </c>
      <c r="D16" s="16">
        <v>0</v>
      </c>
      <c r="E16" s="32">
        <v>0</v>
      </c>
      <c r="F16" s="34"/>
    </row>
    <row r="17" spans="2:6" ht="18" x14ac:dyDescent="0.25">
      <c r="B17" s="1">
        <v>46124</v>
      </c>
      <c r="C17" s="1" t="s">
        <v>20</v>
      </c>
      <c r="D17" s="16">
        <v>0</v>
      </c>
      <c r="E17" s="32">
        <v>0</v>
      </c>
      <c r="F17" s="39"/>
    </row>
    <row r="18" spans="2:6" ht="18" x14ac:dyDescent="0.25">
      <c r="B18" s="1">
        <v>46125</v>
      </c>
      <c r="C18" s="1" t="s">
        <v>14</v>
      </c>
      <c r="D18" s="16">
        <v>0</v>
      </c>
      <c r="E18" s="32">
        <v>0</v>
      </c>
      <c r="F18" s="39"/>
    </row>
    <row r="19" spans="2:6" ht="18" x14ac:dyDescent="0.25">
      <c r="B19" s="1">
        <v>46126</v>
      </c>
      <c r="C19" s="1" t="s">
        <v>15</v>
      </c>
      <c r="D19" s="16">
        <v>3500</v>
      </c>
      <c r="E19" s="32">
        <v>1970</v>
      </c>
      <c r="F19" s="39"/>
    </row>
    <row r="20" spans="2:6" ht="18" x14ac:dyDescent="0.25">
      <c r="B20" s="1">
        <v>46127</v>
      </c>
      <c r="C20" s="1" t="s">
        <v>16</v>
      </c>
      <c r="D20" s="16">
        <v>19200</v>
      </c>
      <c r="E20" s="32">
        <v>3800</v>
      </c>
      <c r="F20" s="39"/>
    </row>
    <row r="21" spans="2:6" ht="18" x14ac:dyDescent="0.25">
      <c r="B21" s="1">
        <v>46128</v>
      </c>
      <c r="C21" s="1" t="s">
        <v>17</v>
      </c>
      <c r="D21" s="16">
        <v>5900</v>
      </c>
      <c r="E21" s="32">
        <v>2750</v>
      </c>
      <c r="F21" s="36"/>
    </row>
    <row r="22" spans="2:6" ht="18" x14ac:dyDescent="0.25">
      <c r="B22" s="1">
        <v>46129</v>
      </c>
      <c r="C22" s="1" t="s">
        <v>18</v>
      </c>
      <c r="D22" s="16">
        <v>25850</v>
      </c>
      <c r="E22" s="32">
        <v>6350</v>
      </c>
      <c r="F22" s="36"/>
    </row>
    <row r="23" spans="2:6" ht="18" x14ac:dyDescent="0.25">
      <c r="B23" s="1">
        <v>46130</v>
      </c>
      <c r="C23" s="1" t="s">
        <v>19</v>
      </c>
      <c r="D23" s="16">
        <v>7550</v>
      </c>
      <c r="E23" s="32">
        <v>2850</v>
      </c>
      <c r="F23" s="34"/>
    </row>
    <row r="24" spans="2:6" ht="18" x14ac:dyDescent="0.25">
      <c r="B24" s="1">
        <v>46131</v>
      </c>
      <c r="C24" s="1" t="s">
        <v>20</v>
      </c>
      <c r="D24" s="16">
        <v>22700</v>
      </c>
      <c r="E24" s="32">
        <v>5250</v>
      </c>
      <c r="F24" s="71">
        <v>15000</v>
      </c>
    </row>
    <row r="25" spans="2:6" ht="18" x14ac:dyDescent="0.25">
      <c r="B25" s="1">
        <v>46132</v>
      </c>
      <c r="C25" s="1" t="s">
        <v>14</v>
      </c>
      <c r="D25" s="16">
        <v>65700</v>
      </c>
      <c r="E25" s="32">
        <v>7350</v>
      </c>
      <c r="F25" s="37"/>
    </row>
    <row r="26" spans="2:6" ht="18" x14ac:dyDescent="0.25">
      <c r="B26" s="1">
        <v>46133</v>
      </c>
      <c r="C26" s="1" t="s">
        <v>15</v>
      </c>
      <c r="D26" s="16">
        <v>18400</v>
      </c>
      <c r="E26" s="32">
        <v>4550</v>
      </c>
      <c r="F26" s="37"/>
    </row>
    <row r="27" spans="2:6" ht="18" x14ac:dyDescent="0.25">
      <c r="B27" s="1">
        <v>46134</v>
      </c>
      <c r="C27" s="1" t="s">
        <v>16</v>
      </c>
      <c r="D27" s="16">
        <v>72100</v>
      </c>
      <c r="E27" s="32">
        <v>6900</v>
      </c>
      <c r="F27" s="34"/>
    </row>
    <row r="28" spans="2:6" ht="18" x14ac:dyDescent="0.25">
      <c r="B28" s="1">
        <v>46135</v>
      </c>
      <c r="C28" s="1" t="s">
        <v>17</v>
      </c>
      <c r="D28" s="16">
        <v>67800</v>
      </c>
      <c r="E28" s="32">
        <v>5800</v>
      </c>
      <c r="F28" s="33"/>
    </row>
    <row r="29" spans="2:6" ht="18" x14ac:dyDescent="0.25">
      <c r="B29" s="1">
        <v>46136</v>
      </c>
      <c r="C29" s="1" t="s">
        <v>18</v>
      </c>
      <c r="D29" s="16">
        <v>15100</v>
      </c>
      <c r="E29" s="32">
        <v>2800</v>
      </c>
      <c r="F29" s="39"/>
    </row>
    <row r="30" spans="2:6" ht="18" x14ac:dyDescent="0.25">
      <c r="B30" s="1">
        <v>46137</v>
      </c>
      <c r="C30" s="1" t="s">
        <v>19</v>
      </c>
      <c r="D30" s="16">
        <v>6050</v>
      </c>
      <c r="E30" s="32">
        <v>2150</v>
      </c>
      <c r="F30" s="34"/>
    </row>
    <row r="31" spans="2:6" ht="18" x14ac:dyDescent="0.25">
      <c r="B31" s="1">
        <v>46138</v>
      </c>
      <c r="C31" s="1" t="s">
        <v>20</v>
      </c>
      <c r="D31" s="16">
        <v>12900</v>
      </c>
      <c r="E31" s="32">
        <v>3750</v>
      </c>
      <c r="F31" s="33"/>
    </row>
    <row r="32" spans="2:6" ht="18" x14ac:dyDescent="0.25">
      <c r="B32" s="1">
        <v>46139</v>
      </c>
      <c r="C32" s="1" t="s">
        <v>14</v>
      </c>
      <c r="D32" s="16">
        <v>10550</v>
      </c>
      <c r="E32" s="32">
        <v>5150</v>
      </c>
      <c r="F32" s="33"/>
    </row>
    <row r="33" spans="2:6" ht="18" x14ac:dyDescent="0.25">
      <c r="B33" s="1">
        <v>46140</v>
      </c>
      <c r="C33" s="1" t="s">
        <v>15</v>
      </c>
      <c r="D33" s="32">
        <v>39400</v>
      </c>
      <c r="E33" s="32">
        <v>2500</v>
      </c>
      <c r="F33" s="33"/>
    </row>
    <row r="34" spans="2:6" ht="18" x14ac:dyDescent="0.25">
      <c r="B34" s="1">
        <v>46141</v>
      </c>
      <c r="C34" s="1" t="s">
        <v>16</v>
      </c>
      <c r="D34" s="16">
        <v>9700</v>
      </c>
      <c r="E34" s="32">
        <v>3400</v>
      </c>
      <c r="F34" s="71">
        <v>2100</v>
      </c>
    </row>
    <row r="35" spans="2:6" ht="18" x14ac:dyDescent="0.25">
      <c r="B35" s="1">
        <v>46142</v>
      </c>
      <c r="C35" s="1" t="s">
        <v>17</v>
      </c>
      <c r="D35" s="16">
        <v>3350</v>
      </c>
      <c r="E35" s="32">
        <v>950</v>
      </c>
      <c r="F35" s="73">
        <v>15000</v>
      </c>
    </row>
    <row r="36" spans="2:6" ht="18" x14ac:dyDescent="0.25">
      <c r="B36" s="1"/>
      <c r="C36" s="1"/>
      <c r="D36" s="16"/>
      <c r="E36" s="16"/>
      <c r="F36" s="39"/>
    </row>
    <row r="37" spans="2:6" ht="25.5" x14ac:dyDescent="0.35">
      <c r="B37" s="3" t="s">
        <v>3</v>
      </c>
      <c r="C37" s="3"/>
      <c r="D37" s="17">
        <f>SUM(D6:D36)</f>
        <v>712630</v>
      </c>
      <c r="E37" s="17">
        <f>SUM(E6:E36)</f>
        <v>123390</v>
      </c>
      <c r="F37" s="17">
        <f>SUM(F6:F36)</f>
        <v>37700</v>
      </c>
    </row>
    <row r="38" spans="2:6" x14ac:dyDescent="0.2">
      <c r="B38" s="30"/>
      <c r="C38" s="30"/>
      <c r="D38" s="18"/>
      <c r="E38" s="18"/>
      <c r="F38" s="29"/>
    </row>
    <row r="39" spans="2:6" ht="15.75" x14ac:dyDescent="0.25">
      <c r="B39" s="77" t="s">
        <v>11</v>
      </c>
      <c r="C39" s="77"/>
      <c r="D39" s="77"/>
      <c r="E39" s="77"/>
      <c r="F39" s="77"/>
    </row>
    <row r="40" spans="2:6" ht="13.5" thickBot="1" x14ac:dyDescent="0.25">
      <c r="B40" s="30"/>
      <c r="C40" s="30"/>
      <c r="D40" s="18"/>
      <c r="E40" s="18"/>
      <c r="F40" s="29"/>
    </row>
    <row r="41" spans="2:6" ht="18" x14ac:dyDescent="0.25">
      <c r="B41" s="8" t="s">
        <v>4</v>
      </c>
      <c r="C41" s="9"/>
      <c r="D41" s="19">
        <f>E37</f>
        <v>123390</v>
      </c>
      <c r="E41" s="20"/>
      <c r="F41" s="29"/>
    </row>
    <row r="42" spans="2:6" ht="18" x14ac:dyDescent="0.25">
      <c r="B42" s="10" t="s">
        <v>9</v>
      </c>
      <c r="C42" s="4"/>
      <c r="D42" s="21"/>
      <c r="E42" s="20"/>
      <c r="F42" s="29"/>
    </row>
    <row r="43" spans="2:6" ht="18" x14ac:dyDescent="0.25">
      <c r="B43" s="80" t="s">
        <v>29</v>
      </c>
      <c r="C43" s="81"/>
      <c r="D43" s="26"/>
      <c r="E43" s="20"/>
      <c r="F43" s="29"/>
    </row>
    <row r="44" spans="2:6" ht="18" x14ac:dyDescent="0.25">
      <c r="B44" s="78" t="s">
        <v>5</v>
      </c>
      <c r="C44" s="79"/>
      <c r="D44" s="38">
        <v>25000</v>
      </c>
      <c r="E44" s="20"/>
      <c r="F44" s="29"/>
    </row>
    <row r="45" spans="2:6" ht="18" x14ac:dyDescent="0.25">
      <c r="B45" s="11" t="s">
        <v>6</v>
      </c>
      <c r="C45" s="5"/>
      <c r="D45" s="38">
        <v>5000</v>
      </c>
      <c r="E45" s="20"/>
      <c r="F45" s="29"/>
    </row>
    <row r="46" spans="2:6" ht="18" x14ac:dyDescent="0.25">
      <c r="B46" s="11" t="s">
        <v>13</v>
      </c>
      <c r="C46" s="5"/>
      <c r="D46" s="38">
        <v>4000</v>
      </c>
      <c r="E46" s="20"/>
      <c r="F46" s="29"/>
    </row>
    <row r="47" spans="2:6" ht="18" x14ac:dyDescent="0.25">
      <c r="B47" s="11" t="s">
        <v>21</v>
      </c>
      <c r="C47" s="5"/>
      <c r="D47" s="38">
        <v>30000</v>
      </c>
      <c r="E47" s="20"/>
      <c r="F47" s="29"/>
    </row>
    <row r="48" spans="2:6" ht="18" x14ac:dyDescent="0.25">
      <c r="B48" s="78" t="s">
        <v>22</v>
      </c>
      <c r="C48" s="79"/>
      <c r="D48" s="38">
        <v>37700</v>
      </c>
      <c r="E48" s="20"/>
      <c r="F48" s="29"/>
    </row>
    <row r="49" spans="2:6" ht="18" x14ac:dyDescent="0.25">
      <c r="B49" s="11" t="s">
        <v>24</v>
      </c>
      <c r="C49" s="5"/>
      <c r="D49" s="38">
        <v>15000</v>
      </c>
      <c r="E49" s="20"/>
      <c r="F49" s="29"/>
    </row>
    <row r="50" spans="2:6" ht="18" x14ac:dyDescent="0.25">
      <c r="B50" s="78" t="s">
        <v>23</v>
      </c>
      <c r="C50" s="79"/>
      <c r="D50" s="38">
        <v>300</v>
      </c>
      <c r="E50" s="20"/>
      <c r="F50" s="29"/>
    </row>
    <row r="51" spans="2:6" ht="18" x14ac:dyDescent="0.25">
      <c r="B51" s="11" t="s">
        <v>27</v>
      </c>
      <c r="C51" s="5"/>
      <c r="D51" s="26">
        <v>0</v>
      </c>
      <c r="E51" s="20"/>
      <c r="F51" s="29"/>
    </row>
    <row r="52" spans="2:6" ht="18" x14ac:dyDescent="0.25">
      <c r="B52" s="11" t="s">
        <v>28</v>
      </c>
      <c r="C52" s="5"/>
      <c r="D52" s="38">
        <v>808</v>
      </c>
      <c r="E52" s="20"/>
      <c r="F52" s="29"/>
    </row>
    <row r="53" spans="2:6" ht="18" x14ac:dyDescent="0.25">
      <c r="B53" s="12" t="s">
        <v>10</v>
      </c>
      <c r="C53" s="6"/>
      <c r="D53" s="22">
        <f>SUM(D43:D52)</f>
        <v>117808</v>
      </c>
      <c r="E53" s="23"/>
      <c r="F53" s="29"/>
    </row>
    <row r="54" spans="2:6" ht="18.75" thickBot="1" x14ac:dyDescent="0.3">
      <c r="B54" s="13" t="s">
        <v>8</v>
      </c>
      <c r="C54" s="14"/>
      <c r="D54" s="24">
        <f>D41-D53</f>
        <v>5582</v>
      </c>
      <c r="E54" s="23"/>
      <c r="F54" s="29"/>
    </row>
    <row r="55" spans="2:6" x14ac:dyDescent="0.2">
      <c r="B55" s="25">
        <v>0.15</v>
      </c>
      <c r="C55" s="30"/>
      <c r="D55" s="27">
        <f>15%*D54</f>
        <v>837.3</v>
      </c>
      <c r="E55" s="27"/>
      <c r="F55" s="29"/>
    </row>
    <row r="56" spans="2:6" x14ac:dyDescent="0.2">
      <c r="B56" s="30" t="s">
        <v>26</v>
      </c>
      <c r="C56" s="30"/>
      <c r="D56" s="27">
        <f>D54-D55</f>
        <v>4744.7</v>
      </c>
      <c r="E56" s="27"/>
      <c r="F56" s="29"/>
    </row>
  </sheetData>
  <mergeCells count="7">
    <mergeCell ref="B50:C50"/>
    <mergeCell ref="B43:C43"/>
    <mergeCell ref="B1:F1"/>
    <mergeCell ref="B3:F3"/>
    <mergeCell ref="B39:F39"/>
    <mergeCell ref="B44:C44"/>
    <mergeCell ref="B48:C48"/>
  </mergeCells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CB0B9-795F-4909-A095-F88F31742F74}">
  <dimension ref="B1:F56"/>
  <sheetViews>
    <sheetView topLeftCell="A30" zoomScale="85" zoomScaleNormal="85" workbookViewId="0">
      <selection activeCell="E37" sqref="E37"/>
    </sheetView>
  </sheetViews>
  <sheetFormatPr defaultRowHeight="12.75" x14ac:dyDescent="0.2"/>
  <cols>
    <col min="1" max="1" width="4.7109375" customWidth="1"/>
    <col min="2" max="2" width="24.5703125" customWidth="1"/>
    <col min="3" max="3" width="22.42578125" customWidth="1"/>
    <col min="4" max="4" width="22.7109375" customWidth="1"/>
    <col min="5" max="5" width="20" customWidth="1"/>
    <col min="6" max="6" width="30.42578125" customWidth="1"/>
  </cols>
  <sheetData>
    <row r="1" spans="2:6" ht="27.75" x14ac:dyDescent="0.4">
      <c r="B1" s="76" t="s">
        <v>7</v>
      </c>
      <c r="C1" s="76"/>
      <c r="D1" s="76"/>
      <c r="E1" s="76"/>
      <c r="F1" s="76"/>
    </row>
    <row r="2" spans="2:6" x14ac:dyDescent="0.2">
      <c r="B2" s="30"/>
      <c r="C2" s="30"/>
      <c r="D2" s="18"/>
      <c r="E2" s="18"/>
      <c r="F2" s="29"/>
    </row>
    <row r="3" spans="2:6" ht="18" x14ac:dyDescent="0.25">
      <c r="B3" s="75" t="s">
        <v>33</v>
      </c>
      <c r="C3" s="75"/>
      <c r="D3" s="75"/>
      <c r="E3" s="75"/>
      <c r="F3" s="75"/>
    </row>
    <row r="4" spans="2:6" x14ac:dyDescent="0.2">
      <c r="B4" s="30"/>
      <c r="C4" s="30"/>
      <c r="D4" s="18"/>
      <c r="E4" s="18"/>
      <c r="F4" s="29"/>
    </row>
    <row r="5" spans="2:6" ht="25.5" x14ac:dyDescent="0.35">
      <c r="B5" s="2" t="s">
        <v>0</v>
      </c>
      <c r="C5" s="2" t="s">
        <v>12</v>
      </c>
      <c r="D5" s="15" t="s">
        <v>1</v>
      </c>
      <c r="E5" s="15" t="s">
        <v>2</v>
      </c>
      <c r="F5" s="29" t="s">
        <v>25</v>
      </c>
    </row>
    <row r="6" spans="2:6" ht="18" x14ac:dyDescent="0.25">
      <c r="B6" s="1">
        <v>46143</v>
      </c>
      <c r="C6" s="1" t="s">
        <v>18</v>
      </c>
      <c r="D6" s="32">
        <v>9900</v>
      </c>
      <c r="E6" s="32">
        <v>2300</v>
      </c>
      <c r="F6" s="39"/>
    </row>
    <row r="7" spans="2:6" ht="18" x14ac:dyDescent="0.25">
      <c r="B7" s="1">
        <v>46144</v>
      </c>
      <c r="C7" s="1" t="s">
        <v>19</v>
      </c>
      <c r="D7" s="32">
        <v>14700</v>
      </c>
      <c r="E7" s="32">
        <v>4650</v>
      </c>
      <c r="F7" s="34"/>
    </row>
    <row r="8" spans="2:6" ht="18" x14ac:dyDescent="0.25">
      <c r="B8" s="1">
        <v>46145</v>
      </c>
      <c r="C8" s="1" t="s">
        <v>20</v>
      </c>
      <c r="D8" s="35">
        <v>8650</v>
      </c>
      <c r="E8" s="35">
        <v>3090</v>
      </c>
      <c r="F8" s="34"/>
    </row>
    <row r="9" spans="2:6" ht="18" x14ac:dyDescent="0.25">
      <c r="B9" s="1">
        <v>46146</v>
      </c>
      <c r="C9" s="1" t="s">
        <v>14</v>
      </c>
      <c r="D9" s="32">
        <v>8400</v>
      </c>
      <c r="E9" s="32">
        <v>2680</v>
      </c>
      <c r="F9" s="33"/>
    </row>
    <row r="10" spans="2:6" ht="18" x14ac:dyDescent="0.25">
      <c r="B10" s="1">
        <v>46147</v>
      </c>
      <c r="C10" s="1" t="s">
        <v>15</v>
      </c>
      <c r="D10" s="32">
        <v>22900</v>
      </c>
      <c r="E10" s="32">
        <v>2450</v>
      </c>
      <c r="F10" s="33"/>
    </row>
    <row r="11" spans="2:6" ht="18" x14ac:dyDescent="0.25">
      <c r="B11" s="1">
        <v>46148</v>
      </c>
      <c r="C11" s="1" t="s">
        <v>16</v>
      </c>
      <c r="D11" s="32">
        <v>7500</v>
      </c>
      <c r="E11" s="32">
        <v>3190</v>
      </c>
      <c r="F11" s="34"/>
    </row>
    <row r="12" spans="2:6" ht="18" x14ac:dyDescent="0.25">
      <c r="B12" s="1">
        <v>46149</v>
      </c>
      <c r="C12" s="1" t="s">
        <v>17</v>
      </c>
      <c r="D12" s="32">
        <v>2850</v>
      </c>
      <c r="E12" s="32">
        <v>1250</v>
      </c>
      <c r="F12" s="34"/>
    </row>
    <row r="13" spans="2:6" ht="18" x14ac:dyDescent="0.25">
      <c r="B13" s="1">
        <v>46150</v>
      </c>
      <c r="C13" s="1" t="s">
        <v>18</v>
      </c>
      <c r="D13" s="32">
        <v>5150</v>
      </c>
      <c r="E13" s="32">
        <v>1400</v>
      </c>
      <c r="F13" s="34"/>
    </row>
    <row r="14" spans="2:6" ht="18" x14ac:dyDescent="0.25">
      <c r="B14" s="1">
        <v>46151</v>
      </c>
      <c r="C14" s="1" t="s">
        <v>19</v>
      </c>
      <c r="D14" s="32">
        <v>5300</v>
      </c>
      <c r="E14" s="32">
        <f>800+300+300+2003</f>
        <v>3403</v>
      </c>
      <c r="F14" s="34"/>
    </row>
    <row r="15" spans="2:6" ht="18" x14ac:dyDescent="0.25">
      <c r="B15" s="1">
        <v>46152</v>
      </c>
      <c r="C15" s="1" t="s">
        <v>20</v>
      </c>
      <c r="D15" s="32">
        <v>151400</v>
      </c>
      <c r="E15" s="32">
        <v>8300</v>
      </c>
      <c r="F15" s="34"/>
    </row>
    <row r="16" spans="2:6" ht="18" x14ac:dyDescent="0.25">
      <c r="B16" s="1">
        <v>46153</v>
      </c>
      <c r="C16" s="1" t="s">
        <v>14</v>
      </c>
      <c r="D16" s="32">
        <v>10950</v>
      </c>
      <c r="E16" s="32">
        <v>1900</v>
      </c>
      <c r="F16" s="34"/>
    </row>
    <row r="17" spans="2:6" ht="18" x14ac:dyDescent="0.25">
      <c r="B17" s="1">
        <v>46154</v>
      </c>
      <c r="C17" s="1" t="s">
        <v>15</v>
      </c>
      <c r="D17" s="32">
        <v>16150</v>
      </c>
      <c r="E17" s="32">
        <v>4900</v>
      </c>
      <c r="F17" s="39"/>
    </row>
    <row r="18" spans="2:6" ht="18" x14ac:dyDescent="0.25">
      <c r="B18" s="1">
        <v>46155</v>
      </c>
      <c r="C18" s="1" t="s">
        <v>16</v>
      </c>
      <c r="D18" s="32">
        <v>6900</v>
      </c>
      <c r="E18" s="32">
        <v>1700</v>
      </c>
      <c r="F18" s="39"/>
    </row>
    <row r="19" spans="2:6" ht="18" x14ac:dyDescent="0.25">
      <c r="B19" s="1">
        <v>46156</v>
      </c>
      <c r="C19" s="1" t="s">
        <v>17</v>
      </c>
      <c r="D19" s="32">
        <v>19800</v>
      </c>
      <c r="E19" s="32">
        <v>4700</v>
      </c>
      <c r="F19" s="39"/>
    </row>
    <row r="20" spans="2:6" ht="18" x14ac:dyDescent="0.25">
      <c r="B20" s="1">
        <v>46157</v>
      </c>
      <c r="C20" s="1" t="s">
        <v>18</v>
      </c>
      <c r="D20" s="32">
        <v>2500</v>
      </c>
      <c r="E20" s="32">
        <v>1050</v>
      </c>
      <c r="F20" s="39"/>
    </row>
    <row r="21" spans="2:6" ht="18" x14ac:dyDescent="0.25">
      <c r="B21" s="1">
        <v>46158</v>
      </c>
      <c r="C21" s="1" t="s">
        <v>19</v>
      </c>
      <c r="D21" s="32">
        <v>7100</v>
      </c>
      <c r="E21" s="32">
        <v>2100</v>
      </c>
      <c r="F21" s="36"/>
    </row>
    <row r="22" spans="2:6" ht="18" x14ac:dyDescent="0.25">
      <c r="B22" s="1">
        <v>46159</v>
      </c>
      <c r="C22" s="1" t="s">
        <v>20</v>
      </c>
      <c r="D22" s="32">
        <v>8050</v>
      </c>
      <c r="E22" s="32">
        <v>1570</v>
      </c>
      <c r="F22" s="36"/>
    </row>
    <row r="23" spans="2:6" ht="18" x14ac:dyDescent="0.25">
      <c r="B23" s="1">
        <v>46160</v>
      </c>
      <c r="C23" s="1" t="s">
        <v>14</v>
      </c>
      <c r="D23" s="32">
        <v>43050</v>
      </c>
      <c r="E23" s="32">
        <v>7300</v>
      </c>
      <c r="F23" s="34"/>
    </row>
    <row r="24" spans="2:6" ht="18" x14ac:dyDescent="0.25">
      <c r="B24" s="1">
        <v>46161</v>
      </c>
      <c r="C24" s="1" t="s">
        <v>15</v>
      </c>
      <c r="D24" s="32">
        <v>84250</v>
      </c>
      <c r="E24" s="32">
        <v>5150</v>
      </c>
      <c r="F24" s="71">
        <v>15000</v>
      </c>
    </row>
    <row r="25" spans="2:6" ht="18" x14ac:dyDescent="0.25">
      <c r="B25" s="1">
        <v>46162</v>
      </c>
      <c r="C25" s="1" t="s">
        <v>16</v>
      </c>
      <c r="D25" s="32">
        <v>14000</v>
      </c>
      <c r="E25" s="32">
        <v>3900</v>
      </c>
      <c r="F25" s="37"/>
    </row>
    <row r="26" spans="2:6" ht="18" x14ac:dyDescent="0.25">
      <c r="B26" s="1">
        <v>46163</v>
      </c>
      <c r="C26" s="1" t="s">
        <v>17</v>
      </c>
      <c r="D26" s="32">
        <v>11050</v>
      </c>
      <c r="E26" s="32">
        <v>4270</v>
      </c>
      <c r="F26" s="37"/>
    </row>
    <row r="27" spans="2:6" ht="18" x14ac:dyDescent="0.25">
      <c r="B27" s="1">
        <v>46164</v>
      </c>
      <c r="C27" s="1" t="s">
        <v>18</v>
      </c>
      <c r="D27" s="32">
        <v>12650</v>
      </c>
      <c r="E27" s="32">
        <v>2650</v>
      </c>
      <c r="F27" s="34"/>
    </row>
    <row r="28" spans="2:6" ht="18" x14ac:dyDescent="0.25">
      <c r="B28" s="1">
        <v>46165</v>
      </c>
      <c r="C28" s="1" t="s">
        <v>19</v>
      </c>
      <c r="D28" s="32">
        <v>6050</v>
      </c>
      <c r="E28" s="32">
        <v>1250</v>
      </c>
      <c r="F28" s="33"/>
    </row>
    <row r="29" spans="2:6" ht="18" x14ac:dyDescent="0.25">
      <c r="B29" s="1">
        <v>46166</v>
      </c>
      <c r="C29" s="1" t="s">
        <v>20</v>
      </c>
      <c r="D29" s="32">
        <v>14750</v>
      </c>
      <c r="E29" s="32">
        <v>5240</v>
      </c>
      <c r="F29" s="39"/>
    </row>
    <row r="30" spans="2:6" ht="18" x14ac:dyDescent="0.25">
      <c r="B30" s="1">
        <v>46167</v>
      </c>
      <c r="C30" s="1" t="s">
        <v>14</v>
      </c>
      <c r="D30" s="32">
        <v>27800</v>
      </c>
      <c r="E30" s="32">
        <v>5600</v>
      </c>
      <c r="F30" s="34"/>
    </row>
    <row r="31" spans="2:6" ht="18" x14ac:dyDescent="0.25">
      <c r="B31" s="1">
        <v>46168</v>
      </c>
      <c r="C31" s="1" t="s">
        <v>15</v>
      </c>
      <c r="D31" s="32">
        <v>7300</v>
      </c>
      <c r="E31" s="32">
        <v>4500</v>
      </c>
      <c r="F31" s="33"/>
    </row>
    <row r="32" spans="2:6" ht="18" x14ac:dyDescent="0.25">
      <c r="B32" s="1">
        <v>46169</v>
      </c>
      <c r="C32" s="1" t="s">
        <v>16</v>
      </c>
      <c r="D32" s="32">
        <v>0</v>
      </c>
      <c r="E32" s="32">
        <v>0</v>
      </c>
      <c r="F32" s="33"/>
    </row>
    <row r="33" spans="2:6" ht="18" x14ac:dyDescent="0.25">
      <c r="B33" s="1">
        <v>46170</v>
      </c>
      <c r="C33" s="1" t="s">
        <v>17</v>
      </c>
      <c r="D33" s="32">
        <v>0</v>
      </c>
      <c r="E33" s="32">
        <v>0</v>
      </c>
      <c r="F33" s="33"/>
    </row>
    <row r="34" spans="2:6" ht="18" x14ac:dyDescent="0.25">
      <c r="B34" s="1">
        <v>46171</v>
      </c>
      <c r="C34" s="1" t="s">
        <v>18</v>
      </c>
      <c r="D34" s="32">
        <v>8050</v>
      </c>
      <c r="E34" s="32">
        <v>1550</v>
      </c>
      <c r="F34" s="39"/>
    </row>
    <row r="35" spans="2:6" ht="18" x14ac:dyDescent="0.25">
      <c r="B35" s="1">
        <v>46172</v>
      </c>
      <c r="C35" s="1" t="s">
        <v>19</v>
      </c>
      <c r="D35" s="32">
        <v>8400</v>
      </c>
      <c r="E35" s="32">
        <v>2370</v>
      </c>
      <c r="F35" s="37"/>
    </row>
    <row r="36" spans="2:6" ht="18" x14ac:dyDescent="0.25">
      <c r="B36" s="1">
        <v>46173</v>
      </c>
      <c r="C36" s="1" t="s">
        <v>20</v>
      </c>
      <c r="D36" s="32">
        <v>26950</v>
      </c>
      <c r="E36" s="32">
        <v>7840</v>
      </c>
      <c r="F36" s="71">
        <v>15000</v>
      </c>
    </row>
    <row r="37" spans="2:6" ht="25.5" x14ac:dyDescent="0.35">
      <c r="B37" s="3" t="s">
        <v>3</v>
      </c>
      <c r="C37" s="3"/>
      <c r="D37" s="17">
        <f>SUM(D6:D36)</f>
        <v>572500</v>
      </c>
      <c r="E37" s="17">
        <f>SUM(E6:E36)</f>
        <v>102253</v>
      </c>
      <c r="F37" s="17">
        <f>SUM(F6:F36)</f>
        <v>30000</v>
      </c>
    </row>
    <row r="38" spans="2:6" x14ac:dyDescent="0.2">
      <c r="B38" s="30"/>
      <c r="C38" s="30"/>
      <c r="D38" s="18"/>
      <c r="E38" s="18"/>
      <c r="F38" s="29"/>
    </row>
    <row r="39" spans="2:6" ht="15.75" x14ac:dyDescent="0.25">
      <c r="B39" s="82" t="s">
        <v>11</v>
      </c>
      <c r="C39" s="82"/>
      <c r="D39" s="82"/>
      <c r="E39" s="82"/>
      <c r="F39" s="82"/>
    </row>
    <row r="40" spans="2:6" ht="13.5" thickBot="1" x14ac:dyDescent="0.25">
      <c r="B40" s="30"/>
      <c r="C40" s="30"/>
      <c r="D40" s="18"/>
      <c r="E40" s="18"/>
      <c r="F40" s="29"/>
    </row>
    <row r="41" spans="2:6" ht="18.75" thickBot="1" x14ac:dyDescent="0.3">
      <c r="B41" s="89" t="s">
        <v>4</v>
      </c>
      <c r="C41" s="90"/>
      <c r="D41" s="42">
        <f>E37</f>
        <v>102253</v>
      </c>
      <c r="E41" s="20"/>
      <c r="F41" s="29"/>
    </row>
    <row r="42" spans="2:6" ht="18" x14ac:dyDescent="0.25">
      <c r="B42" s="43" t="s">
        <v>9</v>
      </c>
      <c r="C42" s="44"/>
      <c r="D42" s="41"/>
      <c r="E42" s="20"/>
      <c r="F42" s="29"/>
    </row>
    <row r="43" spans="2:6" ht="18" x14ac:dyDescent="0.25">
      <c r="B43" s="83" t="s">
        <v>29</v>
      </c>
      <c r="C43" s="84"/>
      <c r="D43" s="26">
        <v>0</v>
      </c>
      <c r="E43" s="20"/>
      <c r="F43" s="29"/>
    </row>
    <row r="44" spans="2:6" ht="18" x14ac:dyDescent="0.25">
      <c r="B44" s="83" t="s">
        <v>5</v>
      </c>
      <c r="C44" s="84"/>
      <c r="D44" s="38">
        <v>25000</v>
      </c>
      <c r="E44" s="20"/>
      <c r="F44" s="29"/>
    </row>
    <row r="45" spans="2:6" ht="18" x14ac:dyDescent="0.25">
      <c r="B45" s="83" t="s">
        <v>6</v>
      </c>
      <c r="C45" s="84"/>
      <c r="D45" s="38">
        <v>5050</v>
      </c>
      <c r="E45" s="20"/>
      <c r="F45" s="29"/>
    </row>
    <row r="46" spans="2:6" ht="18" x14ac:dyDescent="0.25">
      <c r="B46" s="83" t="s">
        <v>13</v>
      </c>
      <c r="C46" s="84"/>
      <c r="D46" s="38">
        <v>4000</v>
      </c>
      <c r="E46" s="20"/>
      <c r="F46" s="29"/>
    </row>
    <row r="47" spans="2:6" ht="18" x14ac:dyDescent="0.25">
      <c r="B47" s="83" t="s">
        <v>21</v>
      </c>
      <c r="C47" s="84"/>
      <c r="D47" s="38">
        <v>30000</v>
      </c>
      <c r="E47" s="20"/>
      <c r="F47" s="29"/>
    </row>
    <row r="48" spans="2:6" ht="18" x14ac:dyDescent="0.25">
      <c r="B48" s="83" t="s">
        <v>22</v>
      </c>
      <c r="C48" s="84"/>
      <c r="D48" s="38">
        <v>30000</v>
      </c>
      <c r="E48" s="20"/>
      <c r="F48" s="29"/>
    </row>
    <row r="49" spans="2:6" ht="18" x14ac:dyDescent="0.25">
      <c r="B49" s="83" t="s">
        <v>24</v>
      </c>
      <c r="C49" s="84"/>
      <c r="D49" s="38">
        <v>15000</v>
      </c>
      <c r="E49" s="20"/>
      <c r="F49" s="29"/>
    </row>
    <row r="50" spans="2:6" ht="18" x14ac:dyDescent="0.25">
      <c r="B50" s="83" t="s">
        <v>23</v>
      </c>
      <c r="C50" s="84"/>
      <c r="D50" s="38">
        <v>300</v>
      </c>
      <c r="E50" s="20"/>
      <c r="F50" s="29"/>
    </row>
    <row r="51" spans="2:6" ht="18" x14ac:dyDescent="0.25">
      <c r="B51" s="83" t="s">
        <v>27</v>
      </c>
      <c r="C51" s="84"/>
      <c r="D51" s="26">
        <v>0</v>
      </c>
      <c r="E51" s="20"/>
      <c r="F51" s="29"/>
    </row>
    <row r="52" spans="2:6" ht="18.75" thickBot="1" x14ac:dyDescent="0.3">
      <c r="B52" s="85" t="s">
        <v>28</v>
      </c>
      <c r="C52" s="86"/>
      <c r="D52" s="74">
        <v>1336</v>
      </c>
      <c r="E52" s="20"/>
      <c r="F52" s="29"/>
    </row>
    <row r="53" spans="2:6" ht="18.75" thickBot="1" x14ac:dyDescent="0.3">
      <c r="B53" s="87" t="s">
        <v>10</v>
      </c>
      <c r="C53" s="88"/>
      <c r="D53" s="48">
        <f>SUM(D43:D52)</f>
        <v>110686</v>
      </c>
      <c r="E53" s="23"/>
      <c r="F53" s="29"/>
    </row>
    <row r="54" spans="2:6" ht="18.75" thickBot="1" x14ac:dyDescent="0.3">
      <c r="B54" s="45" t="s">
        <v>8</v>
      </c>
      <c r="C54" s="46"/>
      <c r="D54" s="47">
        <f>D41-D53</f>
        <v>-8433</v>
      </c>
      <c r="E54" s="23"/>
      <c r="F54" s="29"/>
    </row>
    <row r="55" spans="2:6" x14ac:dyDescent="0.2">
      <c r="B55" s="25">
        <v>0.15</v>
      </c>
      <c r="C55" s="30"/>
      <c r="D55" s="27">
        <f>15%*D54</f>
        <v>-1264.95</v>
      </c>
      <c r="E55" s="27"/>
      <c r="F55" s="29"/>
    </row>
    <row r="56" spans="2:6" x14ac:dyDescent="0.2">
      <c r="B56" s="30" t="s">
        <v>26</v>
      </c>
      <c r="C56" s="30"/>
      <c r="D56" s="27">
        <f>D54-D55</f>
        <v>-7168.05</v>
      </c>
      <c r="E56" s="27"/>
      <c r="F56" s="29"/>
    </row>
  </sheetData>
  <mergeCells count="15">
    <mergeCell ref="B50:C50"/>
    <mergeCell ref="B51:C51"/>
    <mergeCell ref="B52:C52"/>
    <mergeCell ref="B53:C53"/>
    <mergeCell ref="B41:C41"/>
    <mergeCell ref="B45:C45"/>
    <mergeCell ref="B46:C46"/>
    <mergeCell ref="B47:C47"/>
    <mergeCell ref="B48:C48"/>
    <mergeCell ref="B49:C49"/>
    <mergeCell ref="B1:F1"/>
    <mergeCell ref="B3:F3"/>
    <mergeCell ref="B39:F39"/>
    <mergeCell ref="B43:C43"/>
    <mergeCell ref="B44:C44"/>
  </mergeCells>
  <phoneticPr fontId="11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EF6E0-202D-4DDE-9FF4-4D4F629107D9}">
  <dimension ref="B1:F56"/>
  <sheetViews>
    <sheetView topLeftCell="A37" workbookViewId="0">
      <selection activeCell="E36" sqref="E36"/>
    </sheetView>
  </sheetViews>
  <sheetFormatPr defaultRowHeight="12.75" x14ac:dyDescent="0.2"/>
  <cols>
    <col min="1" max="1" width="4.7109375" customWidth="1"/>
    <col min="2" max="2" width="24.5703125" customWidth="1"/>
    <col min="3" max="3" width="22.42578125" customWidth="1"/>
    <col min="4" max="4" width="22.7109375" customWidth="1"/>
    <col min="5" max="5" width="20" customWidth="1"/>
    <col min="6" max="6" width="30.42578125" customWidth="1"/>
  </cols>
  <sheetData>
    <row r="1" spans="2:6" ht="27.75" x14ac:dyDescent="0.4">
      <c r="B1" s="76" t="s">
        <v>7</v>
      </c>
      <c r="C1" s="76"/>
      <c r="D1" s="76"/>
      <c r="E1" s="76"/>
      <c r="F1" s="76"/>
    </row>
    <row r="2" spans="2:6" x14ac:dyDescent="0.2">
      <c r="B2" s="30"/>
      <c r="C2" s="30"/>
      <c r="D2" s="18"/>
      <c r="E2" s="18"/>
      <c r="F2" s="29"/>
    </row>
    <row r="3" spans="2:6" ht="18" x14ac:dyDescent="0.25">
      <c r="B3" s="75" t="s">
        <v>34</v>
      </c>
      <c r="C3" s="75"/>
      <c r="D3" s="75"/>
      <c r="E3" s="75"/>
      <c r="F3" s="75"/>
    </row>
    <row r="4" spans="2:6" x14ac:dyDescent="0.2">
      <c r="B4" s="30"/>
      <c r="C4" s="30"/>
      <c r="D4" s="18"/>
      <c r="E4" s="18"/>
      <c r="F4" s="29"/>
    </row>
    <row r="5" spans="2:6" ht="25.5" x14ac:dyDescent="0.35">
      <c r="B5" s="2" t="s">
        <v>0</v>
      </c>
      <c r="C5" s="2" t="s">
        <v>12</v>
      </c>
      <c r="D5" s="15" t="s">
        <v>1</v>
      </c>
      <c r="E5" s="15" t="s">
        <v>2</v>
      </c>
      <c r="F5" s="29" t="s">
        <v>25</v>
      </c>
    </row>
    <row r="6" spans="2:6" ht="18" x14ac:dyDescent="0.25">
      <c r="B6" s="1">
        <v>46174</v>
      </c>
      <c r="C6" s="1" t="s">
        <v>14</v>
      </c>
      <c r="D6" s="32">
        <v>4580</v>
      </c>
      <c r="E6" s="32">
        <v>1680</v>
      </c>
      <c r="F6" s="39"/>
    </row>
    <row r="7" spans="2:6" ht="18" x14ac:dyDescent="0.25">
      <c r="B7" s="1">
        <v>46175</v>
      </c>
      <c r="C7" s="1" t="s">
        <v>15</v>
      </c>
      <c r="D7" s="32">
        <v>17950</v>
      </c>
      <c r="E7" s="32">
        <v>5890</v>
      </c>
      <c r="F7" s="50"/>
    </row>
    <row r="8" spans="2:6" ht="18" x14ac:dyDescent="0.25">
      <c r="B8" s="1">
        <v>46176</v>
      </c>
      <c r="C8" s="1" t="s">
        <v>16</v>
      </c>
      <c r="D8" s="35">
        <v>42200</v>
      </c>
      <c r="E8" s="35">
        <v>5470</v>
      </c>
      <c r="F8" s="50"/>
    </row>
    <row r="9" spans="2:6" ht="18" x14ac:dyDescent="0.25">
      <c r="B9" s="1">
        <v>46177</v>
      </c>
      <c r="C9" s="1" t="s">
        <v>17</v>
      </c>
      <c r="D9" s="32">
        <v>7600</v>
      </c>
      <c r="E9" s="32">
        <v>1950</v>
      </c>
      <c r="F9" s="33"/>
    </row>
    <row r="10" spans="2:6" ht="18" x14ac:dyDescent="0.25">
      <c r="B10" s="1">
        <v>46178</v>
      </c>
      <c r="C10" s="1" t="s">
        <v>18</v>
      </c>
      <c r="D10" s="32">
        <v>25150</v>
      </c>
      <c r="E10" s="32">
        <v>7520</v>
      </c>
      <c r="F10" s="33"/>
    </row>
    <row r="11" spans="2:6" ht="18" x14ac:dyDescent="0.25">
      <c r="B11" s="1">
        <v>46179</v>
      </c>
      <c r="C11" s="1" t="s">
        <v>19</v>
      </c>
      <c r="D11" s="32">
        <v>6000</v>
      </c>
      <c r="E11" s="32">
        <v>1000</v>
      </c>
      <c r="F11" s="50"/>
    </row>
    <row r="12" spans="2:6" ht="18" x14ac:dyDescent="0.25">
      <c r="B12" s="1">
        <v>46180</v>
      </c>
      <c r="C12" s="1" t="s">
        <v>20</v>
      </c>
      <c r="D12" s="32">
        <v>23550</v>
      </c>
      <c r="E12" s="32">
        <v>4520</v>
      </c>
      <c r="F12" s="50"/>
    </row>
    <row r="13" spans="2:6" ht="18" x14ac:dyDescent="0.25">
      <c r="B13" s="1">
        <v>46181</v>
      </c>
      <c r="C13" s="1" t="s">
        <v>14</v>
      </c>
      <c r="D13" s="32">
        <v>15900</v>
      </c>
      <c r="E13" s="32">
        <v>3300</v>
      </c>
      <c r="F13" s="50"/>
    </row>
    <row r="14" spans="2:6" ht="18" x14ac:dyDescent="0.25">
      <c r="B14" s="1">
        <v>46182</v>
      </c>
      <c r="C14" s="1" t="s">
        <v>15</v>
      </c>
      <c r="D14" s="32">
        <v>14750</v>
      </c>
      <c r="E14" s="32">
        <v>6270</v>
      </c>
      <c r="F14" s="50"/>
    </row>
    <row r="15" spans="2:6" ht="18" x14ac:dyDescent="0.25">
      <c r="B15" s="1">
        <v>46183</v>
      </c>
      <c r="C15" s="1" t="s">
        <v>16</v>
      </c>
      <c r="D15" s="32">
        <v>27150</v>
      </c>
      <c r="E15" s="32">
        <v>7310</v>
      </c>
      <c r="F15" s="50"/>
    </row>
    <row r="16" spans="2:6" ht="18" x14ac:dyDescent="0.25">
      <c r="B16" s="1">
        <v>46184</v>
      </c>
      <c r="C16" s="1" t="s">
        <v>17</v>
      </c>
      <c r="D16" s="32">
        <v>8250</v>
      </c>
      <c r="E16" s="32">
        <v>2880</v>
      </c>
      <c r="F16" s="50"/>
    </row>
    <row r="17" spans="2:6" ht="18" x14ac:dyDescent="0.25">
      <c r="B17" s="1">
        <v>46185</v>
      </c>
      <c r="C17" s="1" t="s">
        <v>18</v>
      </c>
      <c r="D17" s="32">
        <v>10100</v>
      </c>
      <c r="E17" s="32">
        <v>3200</v>
      </c>
      <c r="F17" s="39"/>
    </row>
    <row r="18" spans="2:6" ht="18" x14ac:dyDescent="0.25">
      <c r="B18" s="1">
        <v>46186</v>
      </c>
      <c r="C18" s="1" t="s">
        <v>19</v>
      </c>
      <c r="D18" s="32">
        <v>25370</v>
      </c>
      <c r="E18" s="32">
        <v>5920</v>
      </c>
      <c r="F18" s="39"/>
    </row>
    <row r="19" spans="2:6" ht="18" x14ac:dyDescent="0.25">
      <c r="B19" s="1">
        <v>46187</v>
      </c>
      <c r="C19" s="1" t="s">
        <v>20</v>
      </c>
      <c r="D19" s="32">
        <v>13800</v>
      </c>
      <c r="E19" s="32">
        <v>4750</v>
      </c>
      <c r="F19" s="39"/>
    </row>
    <row r="20" spans="2:6" ht="18" x14ac:dyDescent="0.25">
      <c r="B20" s="1">
        <v>46188</v>
      </c>
      <c r="C20" s="1" t="s">
        <v>14</v>
      </c>
      <c r="D20" s="32">
        <v>16200</v>
      </c>
      <c r="E20" s="32">
        <v>3000</v>
      </c>
      <c r="F20" s="71">
        <v>15000</v>
      </c>
    </row>
    <row r="21" spans="2:6" ht="18" x14ac:dyDescent="0.25">
      <c r="B21" s="1">
        <v>46189</v>
      </c>
      <c r="C21" s="1" t="s">
        <v>15</v>
      </c>
      <c r="D21" s="32">
        <v>4450</v>
      </c>
      <c r="E21" s="32">
        <v>1200</v>
      </c>
      <c r="F21" s="70"/>
    </row>
    <row r="22" spans="2:6" ht="18" x14ac:dyDescent="0.25">
      <c r="B22" s="1">
        <v>46190</v>
      </c>
      <c r="C22" s="1" t="s">
        <v>16</v>
      </c>
      <c r="D22" s="68">
        <v>1300</v>
      </c>
      <c r="E22" s="67">
        <v>500</v>
      </c>
      <c r="F22" s="64"/>
    </row>
    <row r="23" spans="2:6" ht="18" x14ac:dyDescent="0.25">
      <c r="B23" s="1">
        <v>46191</v>
      </c>
      <c r="C23" s="1" t="s">
        <v>17</v>
      </c>
      <c r="D23" s="67">
        <v>10800</v>
      </c>
      <c r="E23" s="67">
        <v>3170</v>
      </c>
      <c r="F23" s="64"/>
    </row>
    <row r="24" spans="2:6" ht="18" x14ac:dyDescent="0.25">
      <c r="B24" s="1">
        <v>46192</v>
      </c>
      <c r="C24" s="1" t="s">
        <v>18</v>
      </c>
      <c r="D24" s="69">
        <v>27450</v>
      </c>
      <c r="E24" s="67">
        <v>5370</v>
      </c>
      <c r="F24" s="64"/>
    </row>
    <row r="25" spans="2:6" ht="18" x14ac:dyDescent="0.25">
      <c r="B25" s="1">
        <v>46193</v>
      </c>
      <c r="C25" s="1" t="s">
        <v>19</v>
      </c>
      <c r="D25" s="32">
        <v>20050</v>
      </c>
      <c r="E25" s="32">
        <v>7200</v>
      </c>
      <c r="F25" s="50"/>
    </row>
    <row r="26" spans="2:6" ht="18" x14ac:dyDescent="0.25">
      <c r="B26" s="1">
        <v>46194</v>
      </c>
      <c r="C26" s="1" t="s">
        <v>20</v>
      </c>
      <c r="D26" s="32">
        <v>17600</v>
      </c>
      <c r="E26" s="32">
        <v>3200</v>
      </c>
      <c r="F26" s="51"/>
    </row>
    <row r="27" spans="2:6" ht="18" x14ac:dyDescent="0.25">
      <c r="B27" s="1">
        <v>46195</v>
      </c>
      <c r="C27" s="1" t="s">
        <v>14</v>
      </c>
      <c r="D27" s="32">
        <v>26750</v>
      </c>
      <c r="E27" s="32">
        <v>6910</v>
      </c>
      <c r="F27" s="39"/>
    </row>
    <row r="28" spans="2:6" ht="18" x14ac:dyDescent="0.25">
      <c r="B28" s="1">
        <v>46196</v>
      </c>
      <c r="C28" s="1" t="s">
        <v>15</v>
      </c>
      <c r="D28" s="32">
        <v>14280</v>
      </c>
      <c r="E28" s="32">
        <v>62220</v>
      </c>
      <c r="F28" s="33"/>
    </row>
    <row r="29" spans="2:6" ht="18" x14ac:dyDescent="0.25">
      <c r="B29" s="1">
        <v>46197</v>
      </c>
      <c r="C29" s="1" t="s">
        <v>16</v>
      </c>
      <c r="D29" s="32">
        <v>20700</v>
      </c>
      <c r="E29" s="32">
        <v>5940</v>
      </c>
      <c r="F29" s="39"/>
    </row>
    <row r="30" spans="2:6" ht="18" x14ac:dyDescent="0.25">
      <c r="B30" s="1">
        <v>46198</v>
      </c>
      <c r="C30" s="1" t="s">
        <v>17</v>
      </c>
      <c r="D30" s="32">
        <v>3500</v>
      </c>
      <c r="E30" s="32">
        <v>1500</v>
      </c>
      <c r="F30" s="50"/>
    </row>
    <row r="31" spans="2:6" ht="18" x14ac:dyDescent="0.25">
      <c r="B31" s="1">
        <v>46199</v>
      </c>
      <c r="C31" s="1" t="s">
        <v>18</v>
      </c>
      <c r="D31" s="32">
        <v>0</v>
      </c>
      <c r="E31" s="32">
        <v>0</v>
      </c>
      <c r="F31" s="33"/>
    </row>
    <row r="32" spans="2:6" ht="18" x14ac:dyDescent="0.25">
      <c r="B32" s="1">
        <v>46200</v>
      </c>
      <c r="C32" s="1" t="s">
        <v>19</v>
      </c>
      <c r="D32" s="32">
        <v>36200</v>
      </c>
      <c r="E32" s="32">
        <v>7300</v>
      </c>
      <c r="F32" s="33"/>
    </row>
    <row r="33" spans="2:6" ht="18" x14ac:dyDescent="0.25">
      <c r="B33" s="1">
        <v>46201</v>
      </c>
      <c r="C33" s="1" t="s">
        <v>20</v>
      </c>
      <c r="D33" s="32">
        <v>65300</v>
      </c>
      <c r="E33" s="32">
        <v>7200</v>
      </c>
      <c r="F33" s="33"/>
    </row>
    <row r="34" spans="2:6" ht="18" x14ac:dyDescent="0.25">
      <c r="B34" s="1">
        <v>46202</v>
      </c>
      <c r="C34" s="1" t="s">
        <v>14</v>
      </c>
      <c r="D34" s="32">
        <v>250</v>
      </c>
      <c r="E34" s="32">
        <v>120</v>
      </c>
      <c r="F34" s="39"/>
    </row>
    <row r="35" spans="2:6" ht="18" x14ac:dyDescent="0.25">
      <c r="B35" s="1">
        <v>46203</v>
      </c>
      <c r="C35" s="1" t="s">
        <v>15</v>
      </c>
      <c r="D35" s="32">
        <v>25600</v>
      </c>
      <c r="E35" s="32">
        <v>7090</v>
      </c>
      <c r="F35" s="73">
        <v>15000</v>
      </c>
    </row>
    <row r="36" spans="2:6" ht="18" x14ac:dyDescent="0.25">
      <c r="B36" s="1"/>
      <c r="C36" s="1"/>
      <c r="D36" s="16"/>
      <c r="E36" s="16"/>
      <c r="F36" s="39"/>
    </row>
    <row r="37" spans="2:6" ht="25.5" x14ac:dyDescent="0.35">
      <c r="B37" s="3" t="s">
        <v>3</v>
      </c>
      <c r="C37" s="3"/>
      <c r="D37" s="17">
        <f>SUM(D6:D36)</f>
        <v>532780</v>
      </c>
      <c r="E37" s="17">
        <f>SUM(E6:E36)</f>
        <v>183580</v>
      </c>
      <c r="F37" s="17">
        <f>SUM(F6:F36)</f>
        <v>30000</v>
      </c>
    </row>
    <row r="38" spans="2:6" x14ac:dyDescent="0.2">
      <c r="B38" s="30"/>
      <c r="C38" s="30"/>
      <c r="D38" s="18"/>
      <c r="E38" s="18"/>
      <c r="F38" s="29"/>
    </row>
    <row r="39" spans="2:6" ht="15.75" x14ac:dyDescent="0.25">
      <c r="B39" s="82" t="s">
        <v>11</v>
      </c>
      <c r="C39" s="82"/>
      <c r="D39" s="82"/>
      <c r="E39" s="82"/>
      <c r="F39" s="82"/>
    </row>
    <row r="40" spans="2:6" ht="13.5" thickBot="1" x14ac:dyDescent="0.25">
      <c r="B40" s="30"/>
      <c r="C40" s="30"/>
      <c r="D40" s="18"/>
      <c r="E40" s="18"/>
      <c r="F40" s="29"/>
    </row>
    <row r="41" spans="2:6" ht="18.75" thickBot="1" x14ac:dyDescent="0.3">
      <c r="B41" s="89" t="s">
        <v>4</v>
      </c>
      <c r="C41" s="90"/>
      <c r="D41" s="42">
        <f>E37</f>
        <v>183580</v>
      </c>
      <c r="E41" s="20"/>
      <c r="F41" s="29"/>
    </row>
    <row r="42" spans="2:6" ht="18" x14ac:dyDescent="0.25">
      <c r="B42" s="43" t="s">
        <v>9</v>
      </c>
      <c r="C42" s="44"/>
      <c r="D42" s="41"/>
      <c r="E42" s="20"/>
      <c r="F42" s="29"/>
    </row>
    <row r="43" spans="2:6" ht="18" x14ac:dyDescent="0.25">
      <c r="B43" s="83" t="s">
        <v>29</v>
      </c>
      <c r="C43" s="84"/>
      <c r="D43" s="26">
        <v>0</v>
      </c>
      <c r="E43" s="20"/>
      <c r="F43" s="29"/>
    </row>
    <row r="44" spans="2:6" ht="18" x14ac:dyDescent="0.25">
      <c r="B44" s="83" t="s">
        <v>5</v>
      </c>
      <c r="C44" s="84"/>
      <c r="D44" s="38">
        <v>25000</v>
      </c>
      <c r="E44" s="20"/>
      <c r="F44" s="29"/>
    </row>
    <row r="45" spans="2:6" ht="18" x14ac:dyDescent="0.25">
      <c r="B45" s="83" t="s">
        <v>6</v>
      </c>
      <c r="C45" s="84"/>
      <c r="D45" s="38">
        <v>5367</v>
      </c>
      <c r="E45" s="20"/>
      <c r="F45" s="29"/>
    </row>
    <row r="46" spans="2:6" ht="18" x14ac:dyDescent="0.25">
      <c r="B46" s="83" t="s">
        <v>13</v>
      </c>
      <c r="C46" s="84"/>
      <c r="D46" s="38">
        <v>3700</v>
      </c>
      <c r="E46" s="20"/>
      <c r="F46" s="29"/>
    </row>
    <row r="47" spans="2:6" ht="18" x14ac:dyDescent="0.25">
      <c r="B47" s="83" t="s">
        <v>21</v>
      </c>
      <c r="C47" s="84"/>
      <c r="D47" s="38">
        <v>30000</v>
      </c>
      <c r="E47" s="20"/>
      <c r="F47" s="29"/>
    </row>
    <row r="48" spans="2:6" ht="18" x14ac:dyDescent="0.25">
      <c r="B48" s="83" t="s">
        <v>22</v>
      </c>
      <c r="C48" s="84"/>
      <c r="D48" s="38">
        <v>30000</v>
      </c>
      <c r="E48" s="20"/>
      <c r="F48" s="29"/>
    </row>
    <row r="49" spans="2:6" ht="18" x14ac:dyDescent="0.25">
      <c r="B49" s="83" t="s">
        <v>24</v>
      </c>
      <c r="C49" s="84"/>
      <c r="D49" s="38">
        <v>16000</v>
      </c>
      <c r="E49" s="20"/>
      <c r="F49" s="29"/>
    </row>
    <row r="50" spans="2:6" ht="18" x14ac:dyDescent="0.25">
      <c r="B50" s="83" t="s">
        <v>23</v>
      </c>
      <c r="C50" s="84"/>
      <c r="D50" s="38">
        <v>300</v>
      </c>
      <c r="E50" s="20"/>
      <c r="F50" s="29"/>
    </row>
    <row r="51" spans="2:6" ht="18" x14ac:dyDescent="0.25">
      <c r="B51" s="83" t="s">
        <v>27</v>
      </c>
      <c r="C51" s="84"/>
      <c r="D51" s="26">
        <v>0</v>
      </c>
      <c r="E51" s="20"/>
      <c r="F51" s="29"/>
    </row>
    <row r="52" spans="2:6" ht="18.75" thickBot="1" x14ac:dyDescent="0.3">
      <c r="B52" s="85" t="s">
        <v>28</v>
      </c>
      <c r="C52" s="86"/>
      <c r="D52" s="74">
        <v>561</v>
      </c>
      <c r="E52" s="20"/>
      <c r="F52" s="29"/>
    </row>
    <row r="53" spans="2:6" ht="18.75" thickBot="1" x14ac:dyDescent="0.3">
      <c r="B53" s="87" t="s">
        <v>10</v>
      </c>
      <c r="C53" s="88"/>
      <c r="D53" s="48">
        <f>SUM(D43:D52)</f>
        <v>110928</v>
      </c>
      <c r="E53" s="23"/>
      <c r="F53" s="29"/>
    </row>
    <row r="54" spans="2:6" ht="18.75" thickBot="1" x14ac:dyDescent="0.3">
      <c r="B54" s="45" t="s">
        <v>8</v>
      </c>
      <c r="C54" s="46"/>
      <c r="D54" s="47">
        <f>D41-D53</f>
        <v>72652</v>
      </c>
      <c r="E54" s="23"/>
      <c r="F54" s="29"/>
    </row>
    <row r="55" spans="2:6" x14ac:dyDescent="0.2">
      <c r="B55" s="25">
        <v>0.15</v>
      </c>
      <c r="C55" s="30"/>
      <c r="D55" s="27">
        <f>15%*D54</f>
        <v>10897.8</v>
      </c>
      <c r="E55" s="27"/>
      <c r="F55" s="29"/>
    </row>
    <row r="56" spans="2:6" x14ac:dyDescent="0.2">
      <c r="B56" s="30" t="s">
        <v>26</v>
      </c>
      <c r="C56" s="30"/>
      <c r="D56" s="27">
        <f>D54-D55</f>
        <v>61754.2</v>
      </c>
      <c r="E56" s="27"/>
      <c r="F56" s="29"/>
    </row>
  </sheetData>
  <mergeCells count="15">
    <mergeCell ref="B51:C51"/>
    <mergeCell ref="B52:C52"/>
    <mergeCell ref="B53:C53"/>
    <mergeCell ref="B45:C45"/>
    <mergeCell ref="B46:C46"/>
    <mergeCell ref="B47:C47"/>
    <mergeCell ref="B48:C48"/>
    <mergeCell ref="B49:C49"/>
    <mergeCell ref="B50:C50"/>
    <mergeCell ref="B44:C44"/>
    <mergeCell ref="B1:F1"/>
    <mergeCell ref="B3:F3"/>
    <mergeCell ref="B39:F39"/>
    <mergeCell ref="B41:C41"/>
    <mergeCell ref="B43:C43"/>
  </mergeCells>
  <phoneticPr fontId="11" type="noConversion"/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0B68F-D570-471A-BC4C-041925E6DED0}">
  <dimension ref="B1:F57"/>
  <sheetViews>
    <sheetView topLeftCell="A37" zoomScale="89" zoomScaleNormal="89" workbookViewId="0">
      <selection activeCell="D48" sqref="D48"/>
    </sheetView>
  </sheetViews>
  <sheetFormatPr defaultRowHeight="12.75" x14ac:dyDescent="0.2"/>
  <cols>
    <col min="1" max="1" width="4.7109375" customWidth="1"/>
    <col min="2" max="2" width="24.5703125" customWidth="1"/>
    <col min="3" max="3" width="22.42578125" customWidth="1"/>
    <col min="4" max="4" width="22.7109375" customWidth="1"/>
    <col min="5" max="5" width="20" customWidth="1"/>
    <col min="6" max="6" width="30.42578125" customWidth="1"/>
  </cols>
  <sheetData>
    <row r="1" spans="2:6" ht="27.75" x14ac:dyDescent="0.4">
      <c r="B1" s="76" t="s">
        <v>7</v>
      </c>
      <c r="C1" s="76"/>
      <c r="D1" s="76"/>
      <c r="E1" s="76"/>
      <c r="F1" s="76"/>
    </row>
    <row r="2" spans="2:6" x14ac:dyDescent="0.2">
      <c r="B2" s="30"/>
      <c r="C2" s="30"/>
      <c r="D2" s="18"/>
      <c r="E2" s="18"/>
      <c r="F2" s="29"/>
    </row>
    <row r="3" spans="2:6" ht="18" x14ac:dyDescent="0.25">
      <c r="B3" s="75" t="s">
        <v>35</v>
      </c>
      <c r="C3" s="75"/>
      <c r="D3" s="75"/>
      <c r="E3" s="75"/>
      <c r="F3" s="75"/>
    </row>
    <row r="4" spans="2:6" x14ac:dyDescent="0.2">
      <c r="B4" s="30"/>
      <c r="C4" s="30"/>
      <c r="D4" s="18"/>
      <c r="E4" s="18"/>
      <c r="F4" s="29"/>
    </row>
    <row r="5" spans="2:6" ht="25.5" x14ac:dyDescent="0.35">
      <c r="B5" s="2" t="s">
        <v>0</v>
      </c>
      <c r="C5" s="2" t="s">
        <v>12</v>
      </c>
      <c r="D5" s="15" t="s">
        <v>1</v>
      </c>
      <c r="E5" s="15" t="s">
        <v>2</v>
      </c>
      <c r="F5" s="29" t="s">
        <v>25</v>
      </c>
    </row>
    <row r="6" spans="2:6" ht="18" x14ac:dyDescent="0.25">
      <c r="B6" s="1">
        <v>45839</v>
      </c>
      <c r="C6" s="1" t="s">
        <v>16</v>
      </c>
      <c r="D6" s="32">
        <v>1150</v>
      </c>
      <c r="E6" s="32">
        <v>370</v>
      </c>
      <c r="F6" s="39"/>
    </row>
    <row r="7" spans="2:6" ht="18" x14ac:dyDescent="0.25">
      <c r="B7" s="1">
        <v>45840</v>
      </c>
      <c r="C7" s="1" t="s">
        <v>17</v>
      </c>
      <c r="D7" s="32">
        <v>5550</v>
      </c>
      <c r="E7" s="32">
        <v>950</v>
      </c>
      <c r="F7" s="50"/>
    </row>
    <row r="8" spans="2:6" ht="18" x14ac:dyDescent="0.25">
      <c r="B8" s="1">
        <v>45841</v>
      </c>
      <c r="C8" s="1" t="s">
        <v>18</v>
      </c>
      <c r="D8" s="35">
        <v>16200</v>
      </c>
      <c r="E8" s="35">
        <v>2700</v>
      </c>
      <c r="F8" s="50"/>
    </row>
    <row r="9" spans="2:6" ht="18" x14ac:dyDescent="0.25">
      <c r="B9" s="1">
        <v>45842</v>
      </c>
      <c r="C9" s="1" t="s">
        <v>19</v>
      </c>
      <c r="D9" s="32">
        <v>64050</v>
      </c>
      <c r="E9" s="32">
        <v>8070</v>
      </c>
      <c r="F9" s="39"/>
    </row>
    <row r="10" spans="2:6" ht="18" x14ac:dyDescent="0.25">
      <c r="B10" s="1">
        <v>45843</v>
      </c>
      <c r="C10" s="1" t="s">
        <v>20</v>
      </c>
      <c r="D10" s="32">
        <v>3400</v>
      </c>
      <c r="E10" s="32">
        <v>950</v>
      </c>
      <c r="F10" s="33"/>
    </row>
    <row r="11" spans="2:6" ht="18" x14ac:dyDescent="0.25">
      <c r="B11" s="1">
        <v>45844</v>
      </c>
      <c r="C11" s="1" t="s">
        <v>14</v>
      </c>
      <c r="D11" s="32">
        <v>62380</v>
      </c>
      <c r="E11" s="32">
        <v>11270</v>
      </c>
      <c r="F11" s="50"/>
    </row>
    <row r="12" spans="2:6" ht="18" x14ac:dyDescent="0.25">
      <c r="B12" s="1">
        <v>45845</v>
      </c>
      <c r="C12" s="1" t="s">
        <v>15</v>
      </c>
      <c r="D12" s="32">
        <v>9360</v>
      </c>
      <c r="E12" s="32">
        <v>1800</v>
      </c>
      <c r="F12" s="50"/>
    </row>
    <row r="13" spans="2:6" ht="18" x14ac:dyDescent="0.25">
      <c r="B13" s="1">
        <v>45846</v>
      </c>
      <c r="C13" s="1" t="s">
        <v>16</v>
      </c>
      <c r="D13" s="32">
        <v>10900</v>
      </c>
      <c r="E13" s="32">
        <v>3200</v>
      </c>
      <c r="F13" s="50"/>
    </row>
    <row r="14" spans="2:6" ht="18" x14ac:dyDescent="0.25">
      <c r="B14" s="1">
        <v>45847</v>
      </c>
      <c r="C14" s="1" t="s">
        <v>17</v>
      </c>
      <c r="D14" s="32">
        <v>29250</v>
      </c>
      <c r="E14" s="32">
        <v>6820</v>
      </c>
      <c r="F14" s="50"/>
    </row>
    <row r="15" spans="2:6" ht="18" x14ac:dyDescent="0.25">
      <c r="B15" s="1">
        <v>45848</v>
      </c>
      <c r="C15" s="1" t="s">
        <v>18</v>
      </c>
      <c r="D15" s="66">
        <v>10050</v>
      </c>
      <c r="E15" s="66">
        <v>3770</v>
      </c>
      <c r="F15" s="50"/>
    </row>
    <row r="16" spans="2:6" ht="18" x14ac:dyDescent="0.25">
      <c r="B16" s="1">
        <v>45849</v>
      </c>
      <c r="C16" s="1" t="s">
        <v>19</v>
      </c>
      <c r="D16" s="32">
        <v>4290</v>
      </c>
      <c r="E16" s="32">
        <v>1090</v>
      </c>
      <c r="F16" s="50"/>
    </row>
    <row r="17" spans="2:6" ht="18" x14ac:dyDescent="0.25">
      <c r="B17" s="1">
        <v>45850</v>
      </c>
      <c r="C17" s="1" t="s">
        <v>20</v>
      </c>
      <c r="D17" s="32">
        <v>76580</v>
      </c>
      <c r="E17" s="32">
        <v>10340</v>
      </c>
      <c r="F17" s="39"/>
    </row>
    <row r="18" spans="2:6" ht="18" x14ac:dyDescent="0.25">
      <c r="B18" s="1">
        <v>45851</v>
      </c>
      <c r="C18" s="1" t="s">
        <v>14</v>
      </c>
      <c r="D18" s="32">
        <v>68800</v>
      </c>
      <c r="E18" s="32">
        <v>8290</v>
      </c>
      <c r="F18" s="39"/>
    </row>
    <row r="19" spans="2:6" ht="18" x14ac:dyDescent="0.25">
      <c r="B19" s="1">
        <v>45852</v>
      </c>
      <c r="C19" s="1" t="s">
        <v>15</v>
      </c>
      <c r="D19" s="32">
        <v>20700</v>
      </c>
      <c r="E19" s="32">
        <v>5920</v>
      </c>
      <c r="F19" s="39"/>
    </row>
    <row r="20" spans="2:6" ht="18" x14ac:dyDescent="0.25">
      <c r="B20" s="1">
        <v>45853</v>
      </c>
      <c r="C20" s="1" t="s">
        <v>16</v>
      </c>
      <c r="D20" s="32">
        <v>17000</v>
      </c>
      <c r="E20" s="32">
        <v>2500</v>
      </c>
      <c r="F20" s="71">
        <v>15000</v>
      </c>
    </row>
    <row r="21" spans="2:6" ht="18" x14ac:dyDescent="0.25">
      <c r="B21" s="1">
        <v>45854</v>
      </c>
      <c r="C21" s="1" t="s">
        <v>17</v>
      </c>
      <c r="D21" s="32">
        <v>25900</v>
      </c>
      <c r="E21" s="32">
        <v>6450</v>
      </c>
      <c r="F21" s="50"/>
    </row>
    <row r="22" spans="2:6" ht="18" x14ac:dyDescent="0.25">
      <c r="B22" s="1">
        <v>45855</v>
      </c>
      <c r="C22" s="1" t="s">
        <v>18</v>
      </c>
      <c r="D22" s="32">
        <v>11150</v>
      </c>
      <c r="E22" s="32">
        <v>4400</v>
      </c>
      <c r="F22" s="64"/>
    </row>
    <row r="23" spans="2:6" ht="18" x14ac:dyDescent="0.25">
      <c r="B23" s="1">
        <v>45856</v>
      </c>
      <c r="C23" s="1" t="s">
        <v>19</v>
      </c>
      <c r="D23" s="32">
        <v>25700</v>
      </c>
      <c r="E23" s="32">
        <v>5850</v>
      </c>
      <c r="F23" s="62"/>
    </row>
    <row r="24" spans="2:6" ht="18" x14ac:dyDescent="0.25">
      <c r="B24" s="1">
        <v>45857</v>
      </c>
      <c r="C24" s="1" t="s">
        <v>20</v>
      </c>
      <c r="D24" s="32">
        <v>72800</v>
      </c>
      <c r="E24" s="32">
        <v>9300</v>
      </c>
      <c r="F24" s="62"/>
    </row>
    <row r="25" spans="2:6" ht="18" x14ac:dyDescent="0.25">
      <c r="B25" s="1">
        <v>45858</v>
      </c>
      <c r="C25" s="1" t="s">
        <v>14</v>
      </c>
      <c r="D25" s="32">
        <v>16500</v>
      </c>
      <c r="E25" s="32">
        <v>6550</v>
      </c>
      <c r="F25" s="50"/>
    </row>
    <row r="26" spans="2:6" ht="18" x14ac:dyDescent="0.25">
      <c r="B26" s="1">
        <v>45859</v>
      </c>
      <c r="C26" s="1" t="s">
        <v>15</v>
      </c>
      <c r="D26" s="32">
        <v>9530</v>
      </c>
      <c r="E26" s="32">
        <v>3150</v>
      </c>
      <c r="F26" s="50"/>
    </row>
    <row r="27" spans="2:6" ht="18" x14ac:dyDescent="0.25">
      <c r="B27" s="1">
        <v>45860</v>
      </c>
      <c r="C27" s="1" t="s">
        <v>16</v>
      </c>
      <c r="D27" s="66">
        <v>13500</v>
      </c>
      <c r="E27" s="66">
        <v>3750</v>
      </c>
      <c r="F27" s="39"/>
    </row>
    <row r="28" spans="2:6" ht="18" x14ac:dyDescent="0.25">
      <c r="B28" s="1">
        <v>45861</v>
      </c>
      <c r="C28" s="1" t="s">
        <v>17</v>
      </c>
      <c r="D28" s="32">
        <v>19700</v>
      </c>
      <c r="E28" s="32">
        <v>6300</v>
      </c>
      <c r="F28" s="39"/>
    </row>
    <row r="29" spans="2:6" ht="18" x14ac:dyDescent="0.25">
      <c r="B29" s="1">
        <v>45862</v>
      </c>
      <c r="C29" s="1" t="s">
        <v>18</v>
      </c>
      <c r="D29" s="32">
        <v>4500</v>
      </c>
      <c r="E29" s="32">
        <v>1700</v>
      </c>
      <c r="F29" s="39"/>
    </row>
    <row r="30" spans="2:6" ht="18" x14ac:dyDescent="0.25">
      <c r="B30" s="1">
        <v>45863</v>
      </c>
      <c r="C30" s="1" t="s">
        <v>19</v>
      </c>
      <c r="D30" s="32">
        <v>22100</v>
      </c>
      <c r="E30" s="32">
        <v>5100</v>
      </c>
      <c r="F30" s="50"/>
    </row>
    <row r="31" spans="2:6" ht="18" x14ac:dyDescent="0.25">
      <c r="B31" s="1">
        <v>45864</v>
      </c>
      <c r="C31" s="1" t="s">
        <v>20</v>
      </c>
      <c r="D31" s="32">
        <v>32850</v>
      </c>
      <c r="E31" s="32">
        <v>11320</v>
      </c>
      <c r="F31" s="39"/>
    </row>
    <row r="32" spans="2:6" ht="18" x14ac:dyDescent="0.25">
      <c r="B32" s="1">
        <v>45865</v>
      </c>
      <c r="C32" s="1" t="s">
        <v>14</v>
      </c>
      <c r="D32" s="32">
        <v>13650</v>
      </c>
      <c r="E32" s="32">
        <v>3550</v>
      </c>
      <c r="F32" s="39"/>
    </row>
    <row r="33" spans="2:6" ht="18" x14ac:dyDescent="0.25">
      <c r="B33" s="1">
        <v>45866</v>
      </c>
      <c r="C33" s="1" t="s">
        <v>15</v>
      </c>
      <c r="D33" s="32">
        <v>88650</v>
      </c>
      <c r="E33" s="32">
        <v>8200</v>
      </c>
      <c r="F33" s="39"/>
    </row>
    <row r="34" spans="2:6" ht="18" x14ac:dyDescent="0.25">
      <c r="B34" s="1">
        <v>45867</v>
      </c>
      <c r="C34" s="1" t="s">
        <v>16</v>
      </c>
      <c r="D34" s="32">
        <v>24650</v>
      </c>
      <c r="E34" s="32">
        <v>4800</v>
      </c>
      <c r="F34" s="39"/>
    </row>
    <row r="35" spans="2:6" ht="18" x14ac:dyDescent="0.25">
      <c r="B35" s="1">
        <v>45868</v>
      </c>
      <c r="C35" s="1" t="s">
        <v>17</v>
      </c>
      <c r="D35" s="32">
        <v>15900</v>
      </c>
      <c r="E35" s="32">
        <v>7420</v>
      </c>
      <c r="F35" s="37"/>
    </row>
    <row r="36" spans="2:6" ht="18" x14ac:dyDescent="0.25">
      <c r="B36" s="1">
        <v>45869</v>
      </c>
      <c r="C36" s="1" t="s">
        <v>18</v>
      </c>
      <c r="D36" s="32">
        <v>53800</v>
      </c>
      <c r="E36" s="32">
        <v>9200</v>
      </c>
      <c r="F36" s="71">
        <v>15000</v>
      </c>
    </row>
    <row r="37" spans="2:6" ht="25.5" x14ac:dyDescent="0.35">
      <c r="B37" s="3" t="s">
        <v>3</v>
      </c>
      <c r="C37" s="3"/>
      <c r="D37" s="17">
        <f>SUM(D6:D36)</f>
        <v>850540</v>
      </c>
      <c r="E37" s="17">
        <f>SUM(E6:E36)</f>
        <v>165080</v>
      </c>
      <c r="F37" s="17">
        <f>SUM(F6:F36)</f>
        <v>30000</v>
      </c>
    </row>
    <row r="38" spans="2:6" x14ac:dyDescent="0.2">
      <c r="B38" s="30"/>
      <c r="C38" s="30"/>
      <c r="D38" s="18"/>
      <c r="E38" s="18"/>
      <c r="F38" s="29"/>
    </row>
    <row r="39" spans="2:6" ht="15.75" x14ac:dyDescent="0.25">
      <c r="B39" s="82" t="s">
        <v>11</v>
      </c>
      <c r="C39" s="82"/>
      <c r="D39" s="82"/>
      <c r="E39" s="82"/>
      <c r="F39" s="82"/>
    </row>
    <row r="40" spans="2:6" ht="13.5" thickBot="1" x14ac:dyDescent="0.25">
      <c r="B40" s="30"/>
      <c r="C40" s="30"/>
      <c r="D40" s="18"/>
      <c r="E40" s="18"/>
      <c r="F40" s="29"/>
    </row>
    <row r="41" spans="2:6" ht="18.75" thickBot="1" x14ac:dyDescent="0.3">
      <c r="B41" s="89" t="s">
        <v>4</v>
      </c>
      <c r="C41" s="90"/>
      <c r="D41" s="42">
        <f>E37</f>
        <v>165080</v>
      </c>
      <c r="E41" s="20"/>
      <c r="F41" s="29"/>
    </row>
    <row r="42" spans="2:6" ht="18" x14ac:dyDescent="0.25">
      <c r="B42" s="43" t="s">
        <v>9</v>
      </c>
      <c r="C42" s="44"/>
      <c r="D42" s="41"/>
      <c r="E42" s="20"/>
      <c r="F42" s="29"/>
    </row>
    <row r="43" spans="2:6" ht="18" x14ac:dyDescent="0.25">
      <c r="B43" s="83" t="s">
        <v>29</v>
      </c>
      <c r="C43" s="84"/>
      <c r="D43" s="38">
        <v>800</v>
      </c>
      <c r="E43" s="20"/>
      <c r="F43" s="29"/>
    </row>
    <row r="44" spans="2:6" ht="18" x14ac:dyDescent="0.25">
      <c r="B44" s="83" t="s">
        <v>5</v>
      </c>
      <c r="C44" s="84"/>
      <c r="D44" s="38">
        <v>25000</v>
      </c>
      <c r="E44" s="20"/>
      <c r="F44" s="29"/>
    </row>
    <row r="45" spans="2:6" ht="18" x14ac:dyDescent="0.25">
      <c r="B45" s="83" t="s">
        <v>6</v>
      </c>
      <c r="C45" s="84"/>
      <c r="D45" s="38">
        <v>5518</v>
      </c>
      <c r="E45" s="20"/>
      <c r="F45" s="29"/>
    </row>
    <row r="46" spans="2:6" ht="18" x14ac:dyDescent="0.25">
      <c r="B46" s="83" t="s">
        <v>13</v>
      </c>
      <c r="C46" s="84"/>
      <c r="D46" s="38">
        <v>3700</v>
      </c>
      <c r="E46" s="20"/>
      <c r="F46" s="29"/>
    </row>
    <row r="47" spans="2:6" ht="18" x14ac:dyDescent="0.25">
      <c r="B47" s="83" t="s">
        <v>21</v>
      </c>
      <c r="C47" s="84"/>
      <c r="D47" s="38">
        <v>30000</v>
      </c>
      <c r="E47" s="20"/>
      <c r="F47" s="29"/>
    </row>
    <row r="48" spans="2:6" ht="18" x14ac:dyDescent="0.25">
      <c r="B48" s="83" t="s">
        <v>22</v>
      </c>
      <c r="C48" s="84"/>
      <c r="D48" s="38">
        <v>30000</v>
      </c>
      <c r="E48" s="20"/>
      <c r="F48" s="29"/>
    </row>
    <row r="49" spans="2:6" ht="18" x14ac:dyDescent="0.25">
      <c r="B49" s="83" t="s">
        <v>24</v>
      </c>
      <c r="C49" s="84"/>
      <c r="D49" s="38">
        <v>17000</v>
      </c>
      <c r="E49" s="20"/>
      <c r="F49" s="29"/>
    </row>
    <row r="50" spans="2:6" ht="18" x14ac:dyDescent="0.25">
      <c r="B50" s="83" t="s">
        <v>23</v>
      </c>
      <c r="C50" s="84"/>
      <c r="D50" s="38">
        <v>300</v>
      </c>
      <c r="E50" s="20"/>
      <c r="F50" s="29"/>
    </row>
    <row r="51" spans="2:6" ht="18" x14ac:dyDescent="0.25">
      <c r="B51" s="83" t="s">
        <v>27</v>
      </c>
      <c r="C51" s="84"/>
      <c r="D51" s="26">
        <v>0</v>
      </c>
      <c r="E51" s="20"/>
      <c r="F51" s="29"/>
    </row>
    <row r="52" spans="2:6" ht="18.75" thickBot="1" x14ac:dyDescent="0.3">
      <c r="B52" s="85" t="s">
        <v>28</v>
      </c>
      <c r="C52" s="86"/>
      <c r="D52" s="74">
        <v>1250</v>
      </c>
      <c r="E52" s="20"/>
      <c r="F52" s="29"/>
    </row>
    <row r="53" spans="2:6" ht="18.75" thickBot="1" x14ac:dyDescent="0.3">
      <c r="B53" s="87" t="s">
        <v>10</v>
      </c>
      <c r="C53" s="88"/>
      <c r="D53" s="48">
        <f>SUM(D43:D52)</f>
        <v>113568</v>
      </c>
      <c r="E53" s="23"/>
      <c r="F53" s="29"/>
    </row>
    <row r="54" spans="2:6" ht="18.75" thickBot="1" x14ac:dyDescent="0.3">
      <c r="B54" s="45" t="s">
        <v>8</v>
      </c>
      <c r="C54" s="46"/>
      <c r="D54" s="47">
        <f>D41-D53</f>
        <v>51512</v>
      </c>
      <c r="E54" s="23"/>
      <c r="F54" s="29"/>
    </row>
    <row r="55" spans="2:6" x14ac:dyDescent="0.2">
      <c r="B55" s="25">
        <v>0.15</v>
      </c>
      <c r="C55" s="30"/>
      <c r="D55" s="27">
        <f>15%*D54</f>
        <v>7726.7999999999993</v>
      </c>
      <c r="E55" s="27"/>
      <c r="F55" s="29"/>
    </row>
    <row r="56" spans="2:6" x14ac:dyDescent="0.2">
      <c r="B56" s="30" t="s">
        <v>26</v>
      </c>
      <c r="C56" s="30"/>
      <c r="D56" s="27">
        <f>D54-D55</f>
        <v>43785.2</v>
      </c>
      <c r="E56" s="27"/>
      <c r="F56" s="29"/>
    </row>
    <row r="57" spans="2:6" x14ac:dyDescent="0.2">
      <c r="D57" s="64"/>
      <c r="E57" s="64"/>
    </row>
  </sheetData>
  <mergeCells count="15">
    <mergeCell ref="B44:C44"/>
    <mergeCell ref="B1:F1"/>
    <mergeCell ref="B3:F3"/>
    <mergeCell ref="B39:F39"/>
    <mergeCell ref="B41:C41"/>
    <mergeCell ref="B43:C43"/>
    <mergeCell ref="B51:C51"/>
    <mergeCell ref="B52:C52"/>
    <mergeCell ref="B53:C53"/>
    <mergeCell ref="B45:C45"/>
    <mergeCell ref="B46:C46"/>
    <mergeCell ref="B47:C47"/>
    <mergeCell ref="B48:C48"/>
    <mergeCell ref="B49:C49"/>
    <mergeCell ref="B50:C50"/>
  </mergeCells>
  <phoneticPr fontId="11" type="noConversion"/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A2B8B-3F41-44C1-A25D-B5C987072442}">
  <dimension ref="B1:G56"/>
  <sheetViews>
    <sheetView topLeftCell="A40" zoomScale="86" zoomScaleNormal="86" workbookViewId="0">
      <selection activeCell="E16" sqref="E16"/>
    </sheetView>
  </sheetViews>
  <sheetFormatPr defaultRowHeight="12.75" x14ac:dyDescent="0.2"/>
  <cols>
    <col min="1" max="1" width="4.7109375" customWidth="1"/>
    <col min="2" max="2" width="24.5703125" customWidth="1"/>
    <col min="3" max="3" width="22.42578125" customWidth="1"/>
    <col min="4" max="4" width="22.7109375" customWidth="1"/>
    <col min="5" max="5" width="20" customWidth="1"/>
    <col min="6" max="6" width="17.7109375" bestFit="1" customWidth="1"/>
  </cols>
  <sheetData>
    <row r="1" spans="2:7" ht="27.75" x14ac:dyDescent="0.4">
      <c r="B1" s="76" t="s">
        <v>7</v>
      </c>
      <c r="C1" s="76"/>
      <c r="D1" s="76"/>
      <c r="E1" s="76"/>
      <c r="F1" s="76"/>
    </row>
    <row r="2" spans="2:7" x14ac:dyDescent="0.2">
      <c r="B2" s="30"/>
      <c r="C2" s="30"/>
      <c r="D2" s="18"/>
      <c r="E2" s="18"/>
      <c r="F2" s="29"/>
    </row>
    <row r="3" spans="2:7" ht="18" x14ac:dyDescent="0.25">
      <c r="B3" s="75" t="s">
        <v>36</v>
      </c>
      <c r="C3" s="75"/>
      <c r="D3" s="75"/>
      <c r="E3" s="75"/>
      <c r="F3" s="75"/>
    </row>
    <row r="4" spans="2:7" x14ac:dyDescent="0.2">
      <c r="B4" s="30"/>
      <c r="C4" s="30"/>
      <c r="D4" s="18"/>
      <c r="E4" s="18"/>
      <c r="F4" s="29"/>
    </row>
    <row r="5" spans="2:7" ht="25.5" x14ac:dyDescent="0.35">
      <c r="B5" s="2" t="s">
        <v>0</v>
      </c>
      <c r="C5" s="2" t="s">
        <v>12</v>
      </c>
      <c r="D5" s="15" t="s">
        <v>1</v>
      </c>
      <c r="E5" s="15" t="s">
        <v>2</v>
      </c>
      <c r="F5" s="52" t="s">
        <v>25</v>
      </c>
    </row>
    <row r="6" spans="2:7" ht="18" x14ac:dyDescent="0.25">
      <c r="B6" s="1">
        <v>46235</v>
      </c>
      <c r="C6" s="1" t="s">
        <v>19</v>
      </c>
      <c r="D6" s="32">
        <v>26150</v>
      </c>
      <c r="E6" s="32">
        <v>7950</v>
      </c>
      <c r="F6" s="39"/>
      <c r="G6" s="64"/>
    </row>
    <row r="7" spans="2:7" ht="18" x14ac:dyDescent="0.25">
      <c r="B7" s="1">
        <v>46236</v>
      </c>
      <c r="C7" s="1" t="s">
        <v>20</v>
      </c>
      <c r="D7" s="32">
        <v>0</v>
      </c>
      <c r="E7" s="32">
        <v>0</v>
      </c>
      <c r="F7" s="50"/>
      <c r="G7" s="64"/>
    </row>
    <row r="8" spans="2:7" ht="18" x14ac:dyDescent="0.25">
      <c r="B8" s="1">
        <v>46237</v>
      </c>
      <c r="C8" s="1" t="s">
        <v>14</v>
      </c>
      <c r="D8" s="35">
        <v>44450</v>
      </c>
      <c r="E8" s="35">
        <v>8700</v>
      </c>
      <c r="F8" s="50"/>
      <c r="G8" s="64"/>
    </row>
    <row r="9" spans="2:7" ht="18" x14ac:dyDescent="0.25">
      <c r="B9" s="1">
        <v>46238</v>
      </c>
      <c r="C9" s="1" t="s">
        <v>15</v>
      </c>
      <c r="D9" s="32">
        <v>6800</v>
      </c>
      <c r="E9" s="32">
        <v>2950</v>
      </c>
      <c r="F9" s="39"/>
      <c r="G9" s="64"/>
    </row>
    <row r="10" spans="2:7" ht="18" x14ac:dyDescent="0.25">
      <c r="B10" s="1">
        <v>46239</v>
      </c>
      <c r="C10" s="1" t="s">
        <v>16</v>
      </c>
      <c r="D10" s="32">
        <v>14750</v>
      </c>
      <c r="E10" s="32">
        <v>4050</v>
      </c>
      <c r="F10" s="33"/>
      <c r="G10" s="64"/>
    </row>
    <row r="11" spans="2:7" ht="18" x14ac:dyDescent="0.25">
      <c r="B11" s="1">
        <v>46240</v>
      </c>
      <c r="C11" s="1" t="s">
        <v>17</v>
      </c>
      <c r="D11" s="32">
        <v>28970</v>
      </c>
      <c r="E11" s="32">
        <v>13860</v>
      </c>
      <c r="F11" s="50"/>
      <c r="G11" s="64"/>
    </row>
    <row r="12" spans="2:7" ht="18" x14ac:dyDescent="0.25">
      <c r="B12" s="1">
        <v>46241</v>
      </c>
      <c r="C12" s="1" t="s">
        <v>18</v>
      </c>
      <c r="D12" s="32">
        <v>22600</v>
      </c>
      <c r="E12" s="32">
        <v>4800</v>
      </c>
      <c r="F12" s="50"/>
      <c r="G12" s="64"/>
    </row>
    <row r="13" spans="2:7" ht="18" x14ac:dyDescent="0.25">
      <c r="B13" s="1">
        <v>46242</v>
      </c>
      <c r="C13" s="1" t="s">
        <v>19</v>
      </c>
      <c r="D13" s="32">
        <v>10500</v>
      </c>
      <c r="E13" s="32">
        <v>4650</v>
      </c>
      <c r="F13" s="50"/>
      <c r="G13" s="64"/>
    </row>
    <row r="14" spans="2:7" ht="18" x14ac:dyDescent="0.25">
      <c r="B14" s="1">
        <v>46243</v>
      </c>
      <c r="C14" s="1" t="s">
        <v>20</v>
      </c>
      <c r="D14" s="32">
        <v>30600</v>
      </c>
      <c r="E14" s="32">
        <v>9000</v>
      </c>
      <c r="F14" s="50"/>
      <c r="G14" s="64"/>
    </row>
    <row r="15" spans="2:7" ht="18" x14ac:dyDescent="0.25">
      <c r="B15" s="1">
        <v>46244</v>
      </c>
      <c r="C15" s="1" t="s">
        <v>14</v>
      </c>
      <c r="D15" s="32">
        <v>6900</v>
      </c>
      <c r="E15" s="32">
        <v>2100</v>
      </c>
      <c r="F15" s="50"/>
      <c r="G15" s="64"/>
    </row>
    <row r="16" spans="2:7" ht="18" x14ac:dyDescent="0.25">
      <c r="B16" s="1">
        <v>46245</v>
      </c>
      <c r="C16" s="1" t="s">
        <v>15</v>
      </c>
      <c r="D16" s="32"/>
      <c r="E16" s="32"/>
      <c r="F16" s="50"/>
      <c r="G16" s="64"/>
    </row>
    <row r="17" spans="2:7" ht="18" x14ac:dyDescent="0.25">
      <c r="B17" s="1">
        <v>46246</v>
      </c>
      <c r="C17" s="1" t="s">
        <v>16</v>
      </c>
      <c r="D17" s="32"/>
      <c r="E17" s="32"/>
      <c r="F17" s="39"/>
      <c r="G17" s="64"/>
    </row>
    <row r="18" spans="2:7" ht="18" x14ac:dyDescent="0.25">
      <c r="B18" s="1">
        <v>46247</v>
      </c>
      <c r="C18" s="1" t="s">
        <v>17</v>
      </c>
      <c r="D18" s="32"/>
      <c r="E18" s="32"/>
      <c r="F18" s="39"/>
      <c r="G18" s="64"/>
    </row>
    <row r="19" spans="2:7" ht="18" x14ac:dyDescent="0.25">
      <c r="B19" s="1">
        <v>46248</v>
      </c>
      <c r="C19" s="1" t="s">
        <v>18</v>
      </c>
      <c r="D19" s="32"/>
      <c r="E19" s="32"/>
      <c r="F19" s="39"/>
      <c r="G19" s="64"/>
    </row>
    <row r="20" spans="2:7" ht="18" x14ac:dyDescent="0.25">
      <c r="B20" s="1">
        <v>46249</v>
      </c>
      <c r="C20" s="1" t="s">
        <v>19</v>
      </c>
      <c r="D20" s="32"/>
      <c r="E20" s="32"/>
      <c r="F20" s="39"/>
      <c r="G20" s="64"/>
    </row>
    <row r="21" spans="2:7" ht="18" x14ac:dyDescent="0.25">
      <c r="B21" s="1">
        <v>46250</v>
      </c>
      <c r="C21" s="1" t="s">
        <v>20</v>
      </c>
      <c r="D21" s="32"/>
      <c r="E21" s="32"/>
      <c r="F21" s="50"/>
      <c r="G21" s="64"/>
    </row>
    <row r="22" spans="2:7" ht="18" x14ac:dyDescent="0.25">
      <c r="B22" s="1">
        <v>46251</v>
      </c>
      <c r="C22" s="1" t="s">
        <v>14</v>
      </c>
      <c r="D22" s="32"/>
      <c r="E22" s="32"/>
      <c r="F22" s="62"/>
      <c r="G22" s="64"/>
    </row>
    <row r="23" spans="2:7" ht="18" x14ac:dyDescent="0.25">
      <c r="B23" s="1">
        <v>46252</v>
      </c>
      <c r="C23" s="1" t="s">
        <v>15</v>
      </c>
      <c r="D23" s="32"/>
      <c r="E23" s="32"/>
      <c r="F23" s="62"/>
      <c r="G23" s="64"/>
    </row>
    <row r="24" spans="2:7" ht="18" x14ac:dyDescent="0.25">
      <c r="B24" s="1">
        <v>46253</v>
      </c>
      <c r="C24" s="1" t="s">
        <v>16</v>
      </c>
      <c r="D24" s="32"/>
      <c r="E24" s="32"/>
      <c r="F24" s="62"/>
      <c r="G24" s="64"/>
    </row>
    <row r="25" spans="2:7" ht="18" x14ac:dyDescent="0.25">
      <c r="B25" s="1">
        <v>46254</v>
      </c>
      <c r="C25" s="1" t="s">
        <v>17</v>
      </c>
      <c r="D25" s="32"/>
      <c r="E25" s="32"/>
      <c r="F25" s="50"/>
      <c r="G25" s="64"/>
    </row>
    <row r="26" spans="2:7" ht="18" x14ac:dyDescent="0.25">
      <c r="B26" s="1">
        <v>46255</v>
      </c>
      <c r="C26" s="1" t="s">
        <v>18</v>
      </c>
      <c r="D26" s="32"/>
      <c r="E26" s="32"/>
      <c r="F26" s="50"/>
      <c r="G26" s="64"/>
    </row>
    <row r="27" spans="2:7" ht="18" x14ac:dyDescent="0.25">
      <c r="B27" s="1">
        <v>46256</v>
      </c>
      <c r="C27" s="1" t="s">
        <v>19</v>
      </c>
      <c r="D27" s="32"/>
      <c r="E27" s="32"/>
      <c r="F27" s="39"/>
      <c r="G27" s="64"/>
    </row>
    <row r="28" spans="2:7" ht="18" x14ac:dyDescent="0.25">
      <c r="B28" s="1">
        <v>46257</v>
      </c>
      <c r="C28" s="1" t="s">
        <v>20</v>
      </c>
      <c r="D28" s="32"/>
      <c r="E28" s="32"/>
      <c r="F28" s="39"/>
      <c r="G28" s="64"/>
    </row>
    <row r="29" spans="2:7" ht="18" x14ac:dyDescent="0.25">
      <c r="B29" s="1">
        <v>46258</v>
      </c>
      <c r="C29" s="1" t="s">
        <v>14</v>
      </c>
      <c r="D29" s="32"/>
      <c r="E29" s="32"/>
      <c r="F29" s="39"/>
      <c r="G29" s="64"/>
    </row>
    <row r="30" spans="2:7" ht="18" x14ac:dyDescent="0.25">
      <c r="B30" s="1">
        <v>46259</v>
      </c>
      <c r="C30" s="1" t="s">
        <v>15</v>
      </c>
      <c r="D30" s="32"/>
      <c r="E30" s="32"/>
      <c r="F30" s="50"/>
      <c r="G30" s="50"/>
    </row>
    <row r="31" spans="2:7" ht="18" x14ac:dyDescent="0.25">
      <c r="B31" s="1">
        <v>46260</v>
      </c>
      <c r="C31" s="1" t="s">
        <v>16</v>
      </c>
      <c r="D31" s="32"/>
      <c r="E31" s="32"/>
      <c r="F31" s="39"/>
      <c r="G31" s="64"/>
    </row>
    <row r="32" spans="2:7" ht="18" x14ac:dyDescent="0.25">
      <c r="B32" s="1">
        <v>46261</v>
      </c>
      <c r="C32" s="1" t="s">
        <v>17</v>
      </c>
      <c r="D32" s="32"/>
      <c r="E32" s="32"/>
      <c r="F32" s="39"/>
      <c r="G32" s="64"/>
    </row>
    <row r="33" spans="2:7" ht="18" x14ac:dyDescent="0.25">
      <c r="B33" s="1">
        <v>46262</v>
      </c>
      <c r="C33" s="1" t="s">
        <v>18</v>
      </c>
      <c r="D33" s="32"/>
      <c r="E33" s="32"/>
      <c r="F33" s="39"/>
      <c r="G33" s="39"/>
    </row>
    <row r="34" spans="2:7" ht="18" x14ac:dyDescent="0.25">
      <c r="B34" s="1">
        <v>46263</v>
      </c>
      <c r="C34" s="1" t="s">
        <v>19</v>
      </c>
      <c r="D34" s="32"/>
      <c r="E34" s="32"/>
      <c r="F34" s="39"/>
      <c r="G34" s="64"/>
    </row>
    <row r="35" spans="2:7" ht="18" x14ac:dyDescent="0.25">
      <c r="B35" s="1">
        <v>46264</v>
      </c>
      <c r="C35" s="1" t="s">
        <v>20</v>
      </c>
      <c r="D35" s="32"/>
      <c r="E35" s="32"/>
      <c r="F35" s="37"/>
      <c r="G35" s="64"/>
    </row>
    <row r="36" spans="2:7" ht="18" x14ac:dyDescent="0.25">
      <c r="B36" s="1">
        <v>46265</v>
      </c>
      <c r="C36" s="1" t="s">
        <v>14</v>
      </c>
      <c r="D36" s="32"/>
      <c r="E36" s="32"/>
      <c r="F36" s="39"/>
      <c r="G36" s="64"/>
    </row>
    <row r="37" spans="2:7" ht="25.5" x14ac:dyDescent="0.35">
      <c r="B37" s="3" t="s">
        <v>3</v>
      </c>
      <c r="C37" s="3"/>
      <c r="D37" s="17">
        <f>SUM(D6:D36)</f>
        <v>191720</v>
      </c>
      <c r="E37" s="17">
        <f>SUM(E6:E36)</f>
        <v>58060</v>
      </c>
      <c r="F37" s="17">
        <f>SUM(F6:F36)</f>
        <v>0</v>
      </c>
    </row>
    <row r="38" spans="2:7" x14ac:dyDescent="0.2">
      <c r="B38" s="30"/>
      <c r="C38" s="30"/>
      <c r="D38" s="18"/>
      <c r="E38" s="18"/>
      <c r="F38" s="29"/>
    </row>
    <row r="39" spans="2:7" ht="15.75" x14ac:dyDescent="0.25">
      <c r="B39" s="82" t="s">
        <v>11</v>
      </c>
      <c r="C39" s="82"/>
      <c r="D39" s="82"/>
      <c r="E39" s="82"/>
      <c r="F39" s="82"/>
    </row>
    <row r="40" spans="2:7" ht="13.5" thickBot="1" x14ac:dyDescent="0.25">
      <c r="B40" s="30"/>
      <c r="C40" s="30"/>
      <c r="D40" s="18"/>
      <c r="E40" s="18"/>
      <c r="F40" s="29"/>
    </row>
    <row r="41" spans="2:7" ht="18.75" thickBot="1" x14ac:dyDescent="0.3">
      <c r="B41" s="89" t="s">
        <v>4</v>
      </c>
      <c r="C41" s="90"/>
      <c r="D41" s="42">
        <f>E37</f>
        <v>58060</v>
      </c>
      <c r="E41" s="20"/>
      <c r="F41" s="29"/>
    </row>
    <row r="42" spans="2:7" ht="18" x14ac:dyDescent="0.25">
      <c r="B42" s="43" t="s">
        <v>9</v>
      </c>
      <c r="C42" s="44"/>
      <c r="D42" s="41"/>
      <c r="E42" s="20"/>
      <c r="F42" s="29"/>
    </row>
    <row r="43" spans="2:7" ht="18" x14ac:dyDescent="0.25">
      <c r="B43" s="83" t="s">
        <v>29</v>
      </c>
      <c r="C43" s="84"/>
      <c r="D43" s="26"/>
      <c r="E43" s="20"/>
      <c r="F43" s="29"/>
    </row>
    <row r="44" spans="2:7" ht="18" x14ac:dyDescent="0.25">
      <c r="B44" s="83" t="s">
        <v>5</v>
      </c>
      <c r="C44" s="84"/>
      <c r="D44" s="38">
        <v>25000</v>
      </c>
      <c r="E44" s="20"/>
      <c r="F44" s="29"/>
    </row>
    <row r="45" spans="2:7" ht="18" x14ac:dyDescent="0.25">
      <c r="B45" s="83" t="s">
        <v>6</v>
      </c>
      <c r="C45" s="84"/>
      <c r="D45" s="26"/>
      <c r="E45" s="20"/>
      <c r="F45" s="29"/>
    </row>
    <row r="46" spans="2:7" ht="18" x14ac:dyDescent="0.25">
      <c r="B46" s="83" t="s">
        <v>13</v>
      </c>
      <c r="C46" s="84"/>
      <c r="D46" s="26"/>
      <c r="E46" s="20"/>
      <c r="F46" s="29"/>
    </row>
    <row r="47" spans="2:7" ht="18" x14ac:dyDescent="0.25">
      <c r="B47" s="83" t="s">
        <v>21</v>
      </c>
      <c r="C47" s="84"/>
      <c r="D47" s="26"/>
      <c r="E47" s="20"/>
      <c r="F47" s="29"/>
    </row>
    <row r="48" spans="2:7" ht="18" x14ac:dyDescent="0.25">
      <c r="B48" s="83" t="s">
        <v>22</v>
      </c>
      <c r="C48" s="84"/>
      <c r="D48" s="26"/>
      <c r="E48" s="20"/>
      <c r="F48" s="29"/>
    </row>
    <row r="49" spans="2:6" ht="18" x14ac:dyDescent="0.25">
      <c r="B49" s="83" t="s">
        <v>24</v>
      </c>
      <c r="C49" s="84"/>
      <c r="D49" s="38">
        <v>17000</v>
      </c>
      <c r="E49" s="20"/>
      <c r="F49" s="29"/>
    </row>
    <row r="50" spans="2:6" ht="18" x14ac:dyDescent="0.25">
      <c r="B50" s="83" t="s">
        <v>23</v>
      </c>
      <c r="C50" s="84"/>
      <c r="D50" s="38">
        <v>300</v>
      </c>
      <c r="E50" s="20"/>
      <c r="F50" s="29"/>
    </row>
    <row r="51" spans="2:6" ht="18" x14ac:dyDescent="0.25">
      <c r="B51" s="83" t="s">
        <v>27</v>
      </c>
      <c r="C51" s="84"/>
      <c r="D51" s="26"/>
      <c r="E51" s="20"/>
      <c r="F51" s="29"/>
    </row>
    <row r="52" spans="2:6" ht="18.75" thickBot="1" x14ac:dyDescent="0.3">
      <c r="B52" s="85" t="s">
        <v>28</v>
      </c>
      <c r="C52" s="86"/>
      <c r="D52" s="49"/>
      <c r="E52" s="20"/>
      <c r="F52" s="29"/>
    </row>
    <row r="53" spans="2:6" ht="18.75" thickBot="1" x14ac:dyDescent="0.3">
      <c r="B53" s="87" t="s">
        <v>10</v>
      </c>
      <c r="C53" s="88"/>
      <c r="D53" s="48">
        <f>SUM(D43:D52)</f>
        <v>42300</v>
      </c>
      <c r="E53" s="23"/>
      <c r="F53" s="29"/>
    </row>
    <row r="54" spans="2:6" ht="18.75" thickBot="1" x14ac:dyDescent="0.3">
      <c r="B54" s="45" t="s">
        <v>8</v>
      </c>
      <c r="C54" s="46"/>
      <c r="D54" s="47">
        <f>D41-D53</f>
        <v>15760</v>
      </c>
      <c r="E54" s="23"/>
      <c r="F54" s="29"/>
    </row>
    <row r="55" spans="2:6" x14ac:dyDescent="0.2">
      <c r="B55" s="25">
        <v>0.15</v>
      </c>
      <c r="C55" s="30"/>
      <c r="D55" s="27">
        <f>15%*D54</f>
        <v>2364</v>
      </c>
      <c r="E55" s="27"/>
      <c r="F55" s="29"/>
    </row>
    <row r="56" spans="2:6" x14ac:dyDescent="0.2">
      <c r="B56" s="30" t="s">
        <v>26</v>
      </c>
      <c r="C56" s="30"/>
      <c r="D56" s="27">
        <f>D54-D55</f>
        <v>13396</v>
      </c>
      <c r="E56" s="27"/>
      <c r="F56" s="29"/>
    </row>
  </sheetData>
  <mergeCells count="15">
    <mergeCell ref="B51:C51"/>
    <mergeCell ref="B52:C52"/>
    <mergeCell ref="B53:C53"/>
    <mergeCell ref="B45:C45"/>
    <mergeCell ref="B46:C46"/>
    <mergeCell ref="B47:C47"/>
    <mergeCell ref="B48:C48"/>
    <mergeCell ref="B49:C49"/>
    <mergeCell ref="B50:C50"/>
    <mergeCell ref="B44:C44"/>
    <mergeCell ref="B1:F1"/>
    <mergeCell ref="B3:F3"/>
    <mergeCell ref="B39:F39"/>
    <mergeCell ref="B41:C41"/>
    <mergeCell ref="B43:C43"/>
  </mergeCells>
  <phoneticPr fontId="11" type="noConversion"/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3C101-8A34-4751-8CB2-2186BA160C85}">
  <dimension ref="B1:F55"/>
  <sheetViews>
    <sheetView workbookViewId="0">
      <pane xSplit="2" ySplit="5" topLeftCell="C46" activePane="bottomRight" state="frozen"/>
      <selection pane="topRight" activeCell="C1" sqref="C1"/>
      <selection pane="bottomLeft" activeCell="A6" sqref="A6"/>
      <selection pane="bottomRight" activeCell="D43" sqref="D43:D51"/>
    </sheetView>
  </sheetViews>
  <sheetFormatPr defaultRowHeight="12.75" x14ac:dyDescent="0.2"/>
  <cols>
    <col min="1" max="1" width="4.7109375" customWidth="1"/>
    <col min="2" max="2" width="18.5703125" style="59" customWidth="1"/>
    <col min="3" max="3" width="22.42578125" customWidth="1"/>
    <col min="4" max="4" width="22.7109375" customWidth="1"/>
    <col min="5" max="5" width="20" customWidth="1"/>
    <col min="6" max="6" width="17.7109375" bestFit="1" customWidth="1"/>
  </cols>
  <sheetData>
    <row r="1" spans="2:6" ht="27.75" x14ac:dyDescent="0.4">
      <c r="B1" s="76" t="s">
        <v>7</v>
      </c>
      <c r="C1" s="76"/>
      <c r="D1" s="76"/>
      <c r="E1" s="76"/>
      <c r="F1" s="76"/>
    </row>
    <row r="2" spans="2:6" x14ac:dyDescent="0.2">
      <c r="B2" s="53"/>
      <c r="C2" s="30"/>
      <c r="D2" s="18"/>
      <c r="E2" s="18"/>
      <c r="F2" s="29"/>
    </row>
    <row r="3" spans="2:6" ht="18" x14ac:dyDescent="0.25">
      <c r="B3" s="75" t="s">
        <v>37</v>
      </c>
      <c r="C3" s="75"/>
      <c r="D3" s="75"/>
      <c r="E3" s="75"/>
      <c r="F3" s="75"/>
    </row>
    <row r="4" spans="2:6" x14ac:dyDescent="0.2">
      <c r="B4" s="53"/>
      <c r="C4" s="30"/>
      <c r="D4" s="18"/>
      <c r="E4" s="18"/>
      <c r="F4" s="29"/>
    </row>
    <row r="5" spans="2:6" ht="25.5" x14ac:dyDescent="0.35">
      <c r="B5" s="54" t="s">
        <v>0</v>
      </c>
      <c r="C5" s="2" t="s">
        <v>12</v>
      </c>
      <c r="D5" s="15" t="s">
        <v>1</v>
      </c>
      <c r="E5" s="15" t="s">
        <v>2</v>
      </c>
      <c r="F5" s="60" t="s">
        <v>25</v>
      </c>
    </row>
    <row r="6" spans="2:6" ht="18" x14ac:dyDescent="0.25">
      <c r="B6" s="55">
        <v>46266</v>
      </c>
      <c r="C6" s="1" t="s">
        <v>15</v>
      </c>
      <c r="D6" s="32"/>
      <c r="E6" s="32"/>
      <c r="F6" s="39"/>
    </row>
    <row r="7" spans="2:6" ht="18" x14ac:dyDescent="0.25">
      <c r="B7" s="55">
        <v>46267</v>
      </c>
      <c r="C7" s="1" t="s">
        <v>16</v>
      </c>
      <c r="D7" s="32"/>
      <c r="E7" s="32"/>
      <c r="F7" s="50"/>
    </row>
    <row r="8" spans="2:6" ht="18" x14ac:dyDescent="0.25">
      <c r="B8" s="55">
        <v>46268</v>
      </c>
      <c r="C8" s="1" t="s">
        <v>17</v>
      </c>
      <c r="D8" s="35"/>
      <c r="E8" s="35"/>
      <c r="F8" s="50"/>
    </row>
    <row r="9" spans="2:6" ht="18" x14ac:dyDescent="0.25">
      <c r="B9" s="55">
        <v>46269</v>
      </c>
      <c r="C9" s="1" t="s">
        <v>18</v>
      </c>
      <c r="D9" s="32"/>
      <c r="E9" s="32"/>
      <c r="F9" s="39"/>
    </row>
    <row r="10" spans="2:6" ht="18" x14ac:dyDescent="0.25">
      <c r="B10" s="55">
        <v>46270</v>
      </c>
      <c r="C10" s="1" t="s">
        <v>19</v>
      </c>
      <c r="D10" s="32"/>
      <c r="E10" s="32"/>
      <c r="F10" s="39"/>
    </row>
    <row r="11" spans="2:6" ht="18" x14ac:dyDescent="0.25">
      <c r="B11" s="55">
        <v>46271</v>
      </c>
      <c r="C11" s="1" t="s">
        <v>20</v>
      </c>
      <c r="D11" s="32"/>
      <c r="E11" s="32"/>
      <c r="F11" s="50"/>
    </row>
    <row r="12" spans="2:6" ht="18" x14ac:dyDescent="0.25">
      <c r="B12" s="55">
        <v>46272</v>
      </c>
      <c r="C12" s="1" t="s">
        <v>14</v>
      </c>
      <c r="D12" s="32"/>
      <c r="E12" s="32"/>
      <c r="F12" s="50"/>
    </row>
    <row r="13" spans="2:6" ht="18" x14ac:dyDescent="0.25">
      <c r="B13" s="55">
        <v>46273</v>
      </c>
      <c r="C13" s="1" t="s">
        <v>15</v>
      </c>
      <c r="D13" s="32"/>
      <c r="E13" s="32"/>
      <c r="F13" s="50"/>
    </row>
    <row r="14" spans="2:6" ht="18" x14ac:dyDescent="0.25">
      <c r="B14" s="55">
        <v>46274</v>
      </c>
      <c r="C14" s="1" t="s">
        <v>16</v>
      </c>
      <c r="D14" s="32"/>
      <c r="E14" s="32"/>
      <c r="F14" s="50"/>
    </row>
    <row r="15" spans="2:6" ht="18" x14ac:dyDescent="0.25">
      <c r="B15" s="55">
        <v>46275</v>
      </c>
      <c r="C15" s="1" t="s">
        <v>17</v>
      </c>
      <c r="D15" s="32"/>
      <c r="E15" s="32"/>
      <c r="F15" s="50"/>
    </row>
    <row r="16" spans="2:6" ht="18" x14ac:dyDescent="0.25">
      <c r="B16" s="55">
        <v>46276</v>
      </c>
      <c r="C16" s="1" t="s">
        <v>18</v>
      </c>
      <c r="D16" s="32"/>
      <c r="E16" s="32"/>
      <c r="F16" s="50"/>
    </row>
    <row r="17" spans="2:6" ht="18" x14ac:dyDescent="0.25">
      <c r="B17" s="55">
        <v>46277</v>
      </c>
      <c r="C17" s="1" t="s">
        <v>19</v>
      </c>
      <c r="D17" s="32"/>
      <c r="E17" s="32"/>
      <c r="F17" s="39"/>
    </row>
    <row r="18" spans="2:6" ht="18" x14ac:dyDescent="0.25">
      <c r="B18" s="55">
        <v>46278</v>
      </c>
      <c r="C18" s="1" t="s">
        <v>20</v>
      </c>
      <c r="D18" s="32"/>
      <c r="E18" s="32"/>
      <c r="F18" s="39"/>
    </row>
    <row r="19" spans="2:6" ht="18" x14ac:dyDescent="0.25">
      <c r="B19" s="55">
        <v>46279</v>
      </c>
      <c r="C19" s="1" t="s">
        <v>14</v>
      </c>
      <c r="D19" s="32"/>
      <c r="E19" s="32"/>
      <c r="F19" s="39"/>
    </row>
    <row r="20" spans="2:6" ht="18" x14ac:dyDescent="0.25">
      <c r="B20" s="55">
        <v>46280</v>
      </c>
      <c r="C20" s="1" t="s">
        <v>15</v>
      </c>
      <c r="D20" s="32"/>
      <c r="E20" s="32"/>
      <c r="F20" s="39"/>
    </row>
    <row r="21" spans="2:6" ht="18" x14ac:dyDescent="0.25">
      <c r="B21" s="55">
        <v>46281</v>
      </c>
      <c r="C21" s="1" t="s">
        <v>16</v>
      </c>
      <c r="D21" s="32"/>
      <c r="E21" s="32"/>
      <c r="F21" s="50"/>
    </row>
    <row r="22" spans="2:6" ht="18" x14ac:dyDescent="0.25">
      <c r="B22" s="55">
        <v>46282</v>
      </c>
      <c r="C22" s="1" t="s">
        <v>17</v>
      </c>
      <c r="D22" s="32"/>
      <c r="E22" s="32"/>
      <c r="F22" s="62"/>
    </row>
    <row r="23" spans="2:6" ht="18" x14ac:dyDescent="0.25">
      <c r="B23" s="55">
        <v>46283</v>
      </c>
      <c r="C23" s="1" t="s">
        <v>18</v>
      </c>
      <c r="D23" s="32"/>
      <c r="E23" s="32"/>
      <c r="F23" s="62"/>
    </row>
    <row r="24" spans="2:6" ht="18" x14ac:dyDescent="0.25">
      <c r="B24" s="55">
        <v>46284</v>
      </c>
      <c r="C24" s="1" t="s">
        <v>19</v>
      </c>
      <c r="D24" s="32"/>
      <c r="E24" s="32"/>
      <c r="F24" s="62"/>
    </row>
    <row r="25" spans="2:6" ht="18" x14ac:dyDescent="0.25">
      <c r="B25" s="55">
        <v>46285</v>
      </c>
      <c r="C25" s="1" t="s">
        <v>20</v>
      </c>
      <c r="D25" s="32"/>
      <c r="E25" s="32"/>
      <c r="F25" s="50"/>
    </row>
    <row r="26" spans="2:6" ht="18" x14ac:dyDescent="0.25">
      <c r="B26" s="55">
        <v>46286</v>
      </c>
      <c r="C26" s="1" t="s">
        <v>14</v>
      </c>
      <c r="D26" s="32"/>
      <c r="E26" s="32"/>
      <c r="F26" s="50"/>
    </row>
    <row r="27" spans="2:6" ht="18" x14ac:dyDescent="0.25">
      <c r="B27" s="55">
        <v>46287</v>
      </c>
      <c r="C27" s="1" t="s">
        <v>15</v>
      </c>
      <c r="D27" s="32"/>
      <c r="E27" s="32"/>
      <c r="F27" s="39"/>
    </row>
    <row r="28" spans="2:6" ht="18" x14ac:dyDescent="0.25">
      <c r="B28" s="55">
        <v>46288</v>
      </c>
      <c r="C28" s="1" t="s">
        <v>16</v>
      </c>
      <c r="D28" s="32"/>
      <c r="E28" s="32"/>
      <c r="F28" s="39"/>
    </row>
    <row r="29" spans="2:6" ht="18" x14ac:dyDescent="0.25">
      <c r="B29" s="55">
        <v>46289</v>
      </c>
      <c r="C29" s="1" t="s">
        <v>17</v>
      </c>
      <c r="D29" s="32"/>
      <c r="E29" s="32"/>
      <c r="F29" s="39"/>
    </row>
    <row r="30" spans="2:6" ht="18" x14ac:dyDescent="0.25">
      <c r="B30" s="55">
        <v>46290</v>
      </c>
      <c r="C30" s="1" t="s">
        <v>18</v>
      </c>
      <c r="D30" s="32"/>
      <c r="E30" s="32"/>
      <c r="F30" s="50"/>
    </row>
    <row r="31" spans="2:6" ht="18" x14ac:dyDescent="0.25">
      <c r="B31" s="55">
        <v>46291</v>
      </c>
      <c r="C31" s="1" t="s">
        <v>19</v>
      </c>
      <c r="D31" s="32"/>
      <c r="E31" s="32"/>
      <c r="F31" s="39"/>
    </row>
    <row r="32" spans="2:6" ht="18" x14ac:dyDescent="0.25">
      <c r="B32" s="55">
        <v>46292</v>
      </c>
      <c r="C32" s="1" t="s">
        <v>20</v>
      </c>
      <c r="D32" s="32"/>
      <c r="E32" s="32"/>
      <c r="F32" s="39"/>
    </row>
    <row r="33" spans="2:6" ht="18" x14ac:dyDescent="0.25">
      <c r="B33" s="55">
        <v>46293</v>
      </c>
      <c r="C33" s="1" t="s">
        <v>14</v>
      </c>
      <c r="D33" s="32"/>
      <c r="E33" s="32"/>
      <c r="F33" s="39"/>
    </row>
    <row r="34" spans="2:6" ht="18" x14ac:dyDescent="0.25">
      <c r="B34" s="55">
        <v>46294</v>
      </c>
      <c r="C34" s="1" t="s">
        <v>15</v>
      </c>
      <c r="D34" s="32"/>
      <c r="E34" s="32"/>
      <c r="F34" s="39"/>
    </row>
    <row r="35" spans="2:6" ht="18" x14ac:dyDescent="0.25">
      <c r="B35" s="55">
        <v>46295</v>
      </c>
      <c r="C35" s="1" t="s">
        <v>16</v>
      </c>
      <c r="D35" s="32"/>
      <c r="E35" s="32"/>
      <c r="F35" s="37"/>
    </row>
    <row r="36" spans="2:6" ht="18" x14ac:dyDescent="0.25">
      <c r="B36" s="55"/>
      <c r="C36" s="1"/>
      <c r="D36" s="32"/>
      <c r="E36" s="32"/>
      <c r="F36" s="39"/>
    </row>
    <row r="37" spans="2:6" ht="25.5" x14ac:dyDescent="0.35">
      <c r="B37" s="56" t="s">
        <v>3</v>
      </c>
      <c r="C37" s="3"/>
      <c r="D37" s="17">
        <f>SUM(D6:D36)</f>
        <v>0</v>
      </c>
      <c r="E37" s="17">
        <f>SUM(E6:E36)</f>
        <v>0</v>
      </c>
      <c r="F37" s="17">
        <f>SUM(F6:F36)</f>
        <v>0</v>
      </c>
    </row>
    <row r="38" spans="2:6" x14ac:dyDescent="0.2">
      <c r="B38" s="53"/>
      <c r="C38" s="30"/>
      <c r="D38" s="18"/>
      <c r="E38" s="18"/>
      <c r="F38" s="29"/>
    </row>
    <row r="39" spans="2:6" ht="15.75" x14ac:dyDescent="0.25">
      <c r="B39" s="82" t="s">
        <v>11</v>
      </c>
      <c r="C39" s="82"/>
      <c r="D39" s="82"/>
      <c r="E39" s="82"/>
      <c r="F39" s="82"/>
    </row>
    <row r="40" spans="2:6" ht="13.5" thickBot="1" x14ac:dyDescent="0.25">
      <c r="B40" s="53"/>
      <c r="C40" s="30"/>
      <c r="D40" s="18"/>
      <c r="E40" s="18"/>
      <c r="F40" s="29"/>
    </row>
    <row r="41" spans="2:6" ht="18.75" thickBot="1" x14ac:dyDescent="0.3">
      <c r="B41" s="89" t="s">
        <v>4</v>
      </c>
      <c r="C41" s="90"/>
      <c r="D41" s="42">
        <f>E37</f>
        <v>0</v>
      </c>
      <c r="E41" s="20"/>
      <c r="F41" s="29"/>
    </row>
    <row r="42" spans="2:6" ht="18" x14ac:dyDescent="0.25">
      <c r="B42" s="57" t="s">
        <v>9</v>
      </c>
      <c r="C42" s="44"/>
      <c r="D42" s="41"/>
      <c r="E42" s="20"/>
      <c r="F42" s="29"/>
    </row>
    <row r="43" spans="2:6" ht="18" x14ac:dyDescent="0.25">
      <c r="B43" s="83" t="s">
        <v>5</v>
      </c>
      <c r="C43" s="84"/>
      <c r="D43" s="26"/>
      <c r="E43" s="20"/>
      <c r="F43" s="29"/>
    </row>
    <row r="44" spans="2:6" ht="18" x14ac:dyDescent="0.25">
      <c r="B44" s="83" t="s">
        <v>6</v>
      </c>
      <c r="C44" s="84"/>
      <c r="D44" s="26"/>
      <c r="E44" s="20"/>
      <c r="F44" s="29"/>
    </row>
    <row r="45" spans="2:6" ht="18" x14ac:dyDescent="0.25">
      <c r="B45" s="83" t="s">
        <v>13</v>
      </c>
      <c r="C45" s="84"/>
      <c r="D45" s="26"/>
      <c r="E45" s="20"/>
      <c r="F45" s="29"/>
    </row>
    <row r="46" spans="2:6" ht="18" x14ac:dyDescent="0.25">
      <c r="B46" s="83" t="s">
        <v>21</v>
      </c>
      <c r="C46" s="84"/>
      <c r="D46" s="26"/>
      <c r="E46" s="20"/>
      <c r="F46" s="29"/>
    </row>
    <row r="47" spans="2:6" ht="18" x14ac:dyDescent="0.25">
      <c r="B47" s="83" t="s">
        <v>22</v>
      </c>
      <c r="C47" s="84"/>
      <c r="D47" s="26"/>
      <c r="E47" s="20"/>
      <c r="F47" s="29"/>
    </row>
    <row r="48" spans="2:6" ht="18" x14ac:dyDescent="0.25">
      <c r="B48" s="83" t="s">
        <v>24</v>
      </c>
      <c r="C48" s="84"/>
      <c r="D48" s="26"/>
      <c r="E48" s="20"/>
      <c r="F48" s="29"/>
    </row>
    <row r="49" spans="2:6" ht="18" x14ac:dyDescent="0.25">
      <c r="B49" s="83" t="s">
        <v>23</v>
      </c>
      <c r="C49" s="84"/>
      <c r="D49" s="26"/>
      <c r="E49" s="20"/>
      <c r="F49" s="29"/>
    </row>
    <row r="50" spans="2:6" ht="18" x14ac:dyDescent="0.25">
      <c r="B50" s="83" t="s">
        <v>27</v>
      </c>
      <c r="C50" s="84"/>
      <c r="D50" s="26"/>
      <c r="E50" s="20"/>
      <c r="F50" s="29"/>
    </row>
    <row r="51" spans="2:6" ht="18.75" thickBot="1" x14ac:dyDescent="0.3">
      <c r="B51" s="85" t="s">
        <v>28</v>
      </c>
      <c r="C51" s="86"/>
      <c r="D51" s="49"/>
      <c r="E51" s="20"/>
      <c r="F51" s="29"/>
    </row>
    <row r="52" spans="2:6" ht="18.75" thickBot="1" x14ac:dyDescent="0.3">
      <c r="B52" s="87" t="s">
        <v>10</v>
      </c>
      <c r="C52" s="88"/>
      <c r="D52" s="48">
        <f>SUM(D43:D51)</f>
        <v>0</v>
      </c>
      <c r="E52" s="23"/>
      <c r="F52" s="29"/>
    </row>
    <row r="53" spans="2:6" ht="18.75" thickBot="1" x14ac:dyDescent="0.3">
      <c r="B53" s="58" t="s">
        <v>8</v>
      </c>
      <c r="C53" s="46"/>
      <c r="D53" s="47">
        <f>D41-D52</f>
        <v>0</v>
      </c>
      <c r="E53" s="23"/>
      <c r="F53" s="29"/>
    </row>
    <row r="54" spans="2:6" x14ac:dyDescent="0.2">
      <c r="B54" s="53"/>
      <c r="C54" s="30"/>
      <c r="D54" s="40">
        <f>15%*D53</f>
        <v>0</v>
      </c>
      <c r="E54" s="27"/>
      <c r="F54" s="29"/>
    </row>
    <row r="55" spans="2:6" x14ac:dyDescent="0.2">
      <c r="B55" s="53" t="s">
        <v>26</v>
      </c>
      <c r="C55" s="30"/>
      <c r="D55" s="40">
        <f>D53-D54</f>
        <v>0</v>
      </c>
      <c r="E55" s="27"/>
      <c r="F55" s="29"/>
    </row>
  </sheetData>
  <mergeCells count="14">
    <mergeCell ref="B43:C43"/>
    <mergeCell ref="B1:F1"/>
    <mergeCell ref="B3:F3"/>
    <mergeCell ref="B39:F39"/>
    <mergeCell ref="B41:C41"/>
    <mergeCell ref="B50:C50"/>
    <mergeCell ref="B51:C51"/>
    <mergeCell ref="B52:C52"/>
    <mergeCell ref="B44:C44"/>
    <mergeCell ref="B45:C45"/>
    <mergeCell ref="B46:C46"/>
    <mergeCell ref="B47:C47"/>
    <mergeCell ref="B48:C48"/>
    <mergeCell ref="B49:C49"/>
  </mergeCells>
  <phoneticPr fontId="11" type="noConversion"/>
  <pageMargins left="0.7" right="0.7" top="0.75" bottom="0.75" header="0.3" footer="0.3"/>
  <pageSetup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3A250-5C4C-4B5C-9267-F24E967F08EF}">
  <dimension ref="B1:F55"/>
  <sheetViews>
    <sheetView workbookViewId="0">
      <pane xSplit="2" ySplit="5" topLeftCell="C36" activePane="bottomRight" state="frozen"/>
      <selection pane="topRight" activeCell="C1" sqref="C1"/>
      <selection pane="bottomLeft" activeCell="A6" sqref="A6"/>
      <selection pane="bottomRight" activeCell="D43" sqref="D43:D51"/>
    </sheetView>
  </sheetViews>
  <sheetFormatPr defaultRowHeight="12.75" x14ac:dyDescent="0.2"/>
  <cols>
    <col min="1" max="1" width="4.7109375" customWidth="1"/>
    <col min="2" max="2" width="18.5703125" style="59" customWidth="1"/>
    <col min="3" max="3" width="22.42578125" customWidth="1"/>
    <col min="4" max="4" width="22.7109375" customWidth="1"/>
    <col min="5" max="5" width="20" customWidth="1"/>
    <col min="6" max="6" width="17.7109375" bestFit="1" customWidth="1"/>
  </cols>
  <sheetData>
    <row r="1" spans="2:6" ht="27.75" x14ac:dyDescent="0.4">
      <c r="B1" s="76" t="s">
        <v>7</v>
      </c>
      <c r="C1" s="76"/>
      <c r="D1" s="76"/>
      <c r="E1" s="76"/>
      <c r="F1" s="76"/>
    </row>
    <row r="2" spans="2:6" x14ac:dyDescent="0.2">
      <c r="B2" s="53"/>
      <c r="C2" s="30"/>
      <c r="D2" s="18"/>
      <c r="E2" s="18"/>
      <c r="F2" s="29"/>
    </row>
    <row r="3" spans="2:6" ht="18" x14ac:dyDescent="0.25">
      <c r="B3" s="75" t="s">
        <v>38</v>
      </c>
      <c r="C3" s="75"/>
      <c r="D3" s="75"/>
      <c r="E3" s="75"/>
      <c r="F3" s="75"/>
    </row>
    <row r="4" spans="2:6" x14ac:dyDescent="0.2">
      <c r="B4" s="53"/>
      <c r="C4" s="30"/>
      <c r="D4" s="18"/>
      <c r="E4" s="18"/>
      <c r="F4" s="29"/>
    </row>
    <row r="5" spans="2:6" ht="25.5" x14ac:dyDescent="0.35">
      <c r="B5" s="54" t="s">
        <v>0</v>
      </c>
      <c r="C5" s="2" t="s">
        <v>12</v>
      </c>
      <c r="D5" s="15" t="s">
        <v>1</v>
      </c>
      <c r="E5" s="15" t="s">
        <v>2</v>
      </c>
      <c r="F5" s="60" t="s">
        <v>25</v>
      </c>
    </row>
    <row r="6" spans="2:6" ht="18" x14ac:dyDescent="0.25">
      <c r="B6" s="61">
        <v>46296</v>
      </c>
      <c r="C6" s="1" t="s">
        <v>17</v>
      </c>
      <c r="D6" s="32"/>
      <c r="E6" s="32"/>
      <c r="F6" s="39"/>
    </row>
    <row r="7" spans="2:6" ht="18" x14ac:dyDescent="0.25">
      <c r="B7" s="61">
        <v>46297</v>
      </c>
      <c r="C7" s="1" t="s">
        <v>18</v>
      </c>
      <c r="D7" s="32"/>
      <c r="E7" s="32"/>
      <c r="F7" s="50"/>
    </row>
    <row r="8" spans="2:6" ht="18" x14ac:dyDescent="0.25">
      <c r="B8" s="61">
        <v>46298</v>
      </c>
      <c r="C8" s="1" t="s">
        <v>19</v>
      </c>
      <c r="D8" s="35"/>
      <c r="E8" s="35"/>
      <c r="F8" s="50"/>
    </row>
    <row r="9" spans="2:6" ht="18" x14ac:dyDescent="0.25">
      <c r="B9" s="61">
        <v>46299</v>
      </c>
      <c r="C9" s="1" t="s">
        <v>20</v>
      </c>
      <c r="D9" s="32"/>
      <c r="E9" s="32"/>
      <c r="F9" s="39"/>
    </row>
    <row r="10" spans="2:6" ht="18" x14ac:dyDescent="0.25">
      <c r="B10" s="61">
        <v>46300</v>
      </c>
      <c r="C10" s="1" t="s">
        <v>14</v>
      </c>
      <c r="D10" s="32"/>
      <c r="E10" s="66"/>
      <c r="F10" s="39"/>
    </row>
    <row r="11" spans="2:6" ht="18" x14ac:dyDescent="0.25">
      <c r="B11" s="61">
        <v>46301</v>
      </c>
      <c r="C11" s="1" t="s">
        <v>15</v>
      </c>
      <c r="D11" s="32"/>
      <c r="E11" s="32"/>
      <c r="F11" s="50"/>
    </row>
    <row r="12" spans="2:6" ht="18" x14ac:dyDescent="0.25">
      <c r="B12" s="61">
        <v>46302</v>
      </c>
      <c r="C12" s="1" t="s">
        <v>16</v>
      </c>
      <c r="D12" s="32"/>
      <c r="E12" s="32"/>
      <c r="F12" s="50"/>
    </row>
    <row r="13" spans="2:6" ht="18" x14ac:dyDescent="0.25">
      <c r="B13" s="61">
        <v>46303</v>
      </c>
      <c r="C13" s="1" t="s">
        <v>17</v>
      </c>
      <c r="D13" s="32"/>
      <c r="E13" s="32"/>
      <c r="F13" s="50"/>
    </row>
    <row r="14" spans="2:6" ht="18" x14ac:dyDescent="0.25">
      <c r="B14" s="61">
        <v>46304</v>
      </c>
      <c r="C14" s="1" t="s">
        <v>18</v>
      </c>
      <c r="D14" s="32"/>
      <c r="E14" s="32"/>
      <c r="F14" s="50"/>
    </row>
    <row r="15" spans="2:6" ht="18" x14ac:dyDescent="0.25">
      <c r="B15" s="61">
        <v>46305</v>
      </c>
      <c r="C15" s="1" t="s">
        <v>19</v>
      </c>
      <c r="D15" s="32"/>
      <c r="E15" s="32"/>
      <c r="F15" s="50"/>
    </row>
    <row r="16" spans="2:6" ht="18" x14ac:dyDescent="0.25">
      <c r="B16" s="61">
        <v>46306</v>
      </c>
      <c r="C16" s="1" t="s">
        <v>20</v>
      </c>
      <c r="D16" s="32"/>
      <c r="E16" s="32"/>
      <c r="F16" s="50"/>
    </row>
    <row r="17" spans="2:6" ht="18" x14ac:dyDescent="0.25">
      <c r="B17" s="61">
        <v>46307</v>
      </c>
      <c r="C17" s="1" t="s">
        <v>14</v>
      </c>
      <c r="D17" s="32"/>
      <c r="E17" s="32"/>
      <c r="F17" s="39"/>
    </row>
    <row r="18" spans="2:6" ht="18" x14ac:dyDescent="0.25">
      <c r="B18" s="61">
        <v>46308</v>
      </c>
      <c r="C18" s="1" t="s">
        <v>15</v>
      </c>
      <c r="D18" s="32"/>
      <c r="E18" s="32"/>
      <c r="F18" s="39"/>
    </row>
    <row r="19" spans="2:6" ht="18" x14ac:dyDescent="0.25">
      <c r="B19" s="61">
        <v>46309</v>
      </c>
      <c r="C19" s="1" t="s">
        <v>16</v>
      </c>
      <c r="D19" s="32"/>
      <c r="E19" s="32"/>
      <c r="F19" s="39"/>
    </row>
    <row r="20" spans="2:6" ht="18" x14ac:dyDescent="0.25">
      <c r="B20" s="61">
        <v>46310</v>
      </c>
      <c r="C20" s="1" t="s">
        <v>17</v>
      </c>
      <c r="D20" s="32"/>
      <c r="E20" s="32"/>
      <c r="F20" s="39"/>
    </row>
    <row r="21" spans="2:6" ht="18" x14ac:dyDescent="0.25">
      <c r="B21" s="61">
        <v>46311</v>
      </c>
      <c r="C21" s="1" t="s">
        <v>18</v>
      </c>
      <c r="D21" s="32"/>
      <c r="E21" s="32"/>
      <c r="F21" s="50"/>
    </row>
    <row r="22" spans="2:6" ht="18" x14ac:dyDescent="0.25">
      <c r="B22" s="61">
        <v>46312</v>
      </c>
      <c r="C22" s="1" t="s">
        <v>19</v>
      </c>
      <c r="D22" s="32"/>
      <c r="E22" s="32"/>
      <c r="F22" s="62"/>
    </row>
    <row r="23" spans="2:6" ht="18" x14ac:dyDescent="0.25">
      <c r="B23" s="61">
        <v>46313</v>
      </c>
      <c r="C23" s="1" t="s">
        <v>20</v>
      </c>
      <c r="D23" s="32"/>
      <c r="E23" s="32"/>
      <c r="F23" s="62"/>
    </row>
    <row r="24" spans="2:6" ht="18" x14ac:dyDescent="0.25">
      <c r="B24" s="61">
        <v>46314</v>
      </c>
      <c r="C24" s="1" t="s">
        <v>14</v>
      </c>
      <c r="D24" s="32"/>
      <c r="E24" s="32"/>
      <c r="F24" s="62"/>
    </row>
    <row r="25" spans="2:6" ht="18" x14ac:dyDescent="0.25">
      <c r="B25" s="61">
        <v>46315</v>
      </c>
      <c r="C25" s="1" t="s">
        <v>15</v>
      </c>
      <c r="D25" s="32"/>
      <c r="E25" s="32"/>
      <c r="F25" s="50"/>
    </row>
    <row r="26" spans="2:6" ht="18" x14ac:dyDescent="0.25">
      <c r="B26" s="61">
        <v>46316</v>
      </c>
      <c r="C26" s="1" t="s">
        <v>16</v>
      </c>
      <c r="D26" s="32"/>
      <c r="E26" s="32"/>
      <c r="F26" s="50"/>
    </row>
    <row r="27" spans="2:6" ht="18" x14ac:dyDescent="0.25">
      <c r="B27" s="61">
        <v>46317</v>
      </c>
      <c r="C27" s="1" t="s">
        <v>17</v>
      </c>
      <c r="D27" s="32"/>
      <c r="E27" s="32"/>
      <c r="F27" s="39"/>
    </row>
    <row r="28" spans="2:6" ht="18" x14ac:dyDescent="0.25">
      <c r="B28" s="61">
        <v>46318</v>
      </c>
      <c r="C28" s="1" t="s">
        <v>18</v>
      </c>
      <c r="D28" s="32"/>
      <c r="E28" s="32"/>
      <c r="F28" s="39"/>
    </row>
    <row r="29" spans="2:6" ht="18" x14ac:dyDescent="0.25">
      <c r="B29" s="61">
        <v>46319</v>
      </c>
      <c r="C29" s="1" t="s">
        <v>19</v>
      </c>
      <c r="D29" s="32"/>
      <c r="E29" s="32"/>
      <c r="F29" s="39"/>
    </row>
    <row r="30" spans="2:6" ht="18" x14ac:dyDescent="0.25">
      <c r="B30" s="61">
        <v>46320</v>
      </c>
      <c r="C30" s="1" t="s">
        <v>20</v>
      </c>
      <c r="D30" s="32"/>
      <c r="E30" s="32"/>
      <c r="F30" s="50"/>
    </row>
    <row r="31" spans="2:6" ht="18" x14ac:dyDescent="0.25">
      <c r="B31" s="61">
        <v>46321</v>
      </c>
      <c r="C31" s="1" t="s">
        <v>14</v>
      </c>
      <c r="D31" s="32"/>
      <c r="E31" s="32"/>
      <c r="F31" s="39"/>
    </row>
    <row r="32" spans="2:6" ht="18" x14ac:dyDescent="0.25">
      <c r="B32" s="61">
        <v>46322</v>
      </c>
      <c r="C32" s="1" t="s">
        <v>15</v>
      </c>
      <c r="D32" s="32"/>
      <c r="E32" s="32"/>
      <c r="F32" s="39"/>
    </row>
    <row r="33" spans="2:6" ht="18" x14ac:dyDescent="0.25">
      <c r="B33" s="61">
        <v>46323</v>
      </c>
      <c r="C33" s="1" t="s">
        <v>16</v>
      </c>
      <c r="D33" s="32"/>
      <c r="E33" s="32"/>
      <c r="F33" s="39"/>
    </row>
    <row r="34" spans="2:6" ht="18" x14ac:dyDescent="0.25">
      <c r="B34" s="61">
        <v>46324</v>
      </c>
      <c r="C34" s="1" t="s">
        <v>17</v>
      </c>
      <c r="D34" s="32"/>
      <c r="E34" s="32"/>
      <c r="F34" s="39"/>
    </row>
    <row r="35" spans="2:6" ht="18" x14ac:dyDescent="0.25">
      <c r="B35" s="61">
        <v>46325</v>
      </c>
      <c r="C35" s="1" t="s">
        <v>18</v>
      </c>
      <c r="D35" s="32"/>
      <c r="E35" s="32"/>
      <c r="F35" s="37"/>
    </row>
    <row r="36" spans="2:6" ht="18" x14ac:dyDescent="0.25">
      <c r="B36" s="61">
        <v>46326</v>
      </c>
      <c r="C36" s="1" t="s">
        <v>19</v>
      </c>
      <c r="D36" s="32"/>
      <c r="E36" s="32"/>
      <c r="F36" s="39"/>
    </row>
    <row r="37" spans="2:6" ht="25.5" x14ac:dyDescent="0.35">
      <c r="B37" s="56" t="s">
        <v>3</v>
      </c>
      <c r="C37" s="3"/>
      <c r="D37" s="17">
        <f>SUM(D6:D36)</f>
        <v>0</v>
      </c>
      <c r="E37" s="17">
        <f>SUM(E6:E36)</f>
        <v>0</v>
      </c>
      <c r="F37" s="17">
        <f>SUM(F6:F36)</f>
        <v>0</v>
      </c>
    </row>
    <row r="38" spans="2:6" x14ac:dyDescent="0.2">
      <c r="B38" s="53"/>
      <c r="C38" s="30"/>
      <c r="D38" s="18"/>
      <c r="E38" s="18"/>
      <c r="F38" s="29"/>
    </row>
    <row r="39" spans="2:6" ht="15.75" x14ac:dyDescent="0.25">
      <c r="B39" s="82" t="s">
        <v>11</v>
      </c>
      <c r="C39" s="82"/>
      <c r="D39" s="82"/>
      <c r="E39" s="82"/>
      <c r="F39" s="82"/>
    </row>
    <row r="40" spans="2:6" ht="13.5" thickBot="1" x14ac:dyDescent="0.25">
      <c r="B40" s="53"/>
      <c r="C40" s="30"/>
      <c r="D40" s="18"/>
      <c r="E40" s="18"/>
      <c r="F40" s="29"/>
    </row>
    <row r="41" spans="2:6" ht="18.75" thickBot="1" x14ac:dyDescent="0.3">
      <c r="B41" s="89" t="s">
        <v>4</v>
      </c>
      <c r="C41" s="90"/>
      <c r="D41" s="42">
        <f>E37</f>
        <v>0</v>
      </c>
      <c r="E41" s="20"/>
      <c r="F41" s="29"/>
    </row>
    <row r="42" spans="2:6" ht="18" x14ac:dyDescent="0.25">
      <c r="B42" s="57" t="s">
        <v>9</v>
      </c>
      <c r="C42" s="44"/>
      <c r="D42" s="41"/>
      <c r="E42" s="20"/>
      <c r="F42" s="29"/>
    </row>
    <row r="43" spans="2:6" ht="18" x14ac:dyDescent="0.25">
      <c r="B43" s="83" t="s">
        <v>5</v>
      </c>
      <c r="C43" s="84"/>
      <c r="D43" s="26"/>
      <c r="E43" s="20"/>
      <c r="F43" s="29"/>
    </row>
    <row r="44" spans="2:6" ht="18" x14ac:dyDescent="0.25">
      <c r="B44" s="83" t="s">
        <v>6</v>
      </c>
      <c r="C44" s="84"/>
      <c r="D44" s="26"/>
      <c r="E44" s="20"/>
      <c r="F44" s="29"/>
    </row>
    <row r="45" spans="2:6" ht="18" x14ac:dyDescent="0.25">
      <c r="B45" s="83" t="s">
        <v>13</v>
      </c>
      <c r="C45" s="84"/>
      <c r="D45" s="26"/>
      <c r="E45" s="20"/>
      <c r="F45" s="29"/>
    </row>
    <row r="46" spans="2:6" ht="18" x14ac:dyDescent="0.25">
      <c r="B46" s="83" t="s">
        <v>21</v>
      </c>
      <c r="C46" s="84"/>
      <c r="D46" s="26"/>
      <c r="E46" s="20"/>
      <c r="F46" s="29"/>
    </row>
    <row r="47" spans="2:6" ht="18" x14ac:dyDescent="0.25">
      <c r="B47" s="83" t="s">
        <v>22</v>
      </c>
      <c r="C47" s="84"/>
      <c r="D47" s="26"/>
      <c r="E47" s="20"/>
      <c r="F47" s="29"/>
    </row>
    <row r="48" spans="2:6" ht="18" x14ac:dyDescent="0.25">
      <c r="B48" s="83" t="s">
        <v>24</v>
      </c>
      <c r="C48" s="84"/>
      <c r="D48" s="26"/>
      <c r="E48" s="20"/>
      <c r="F48" s="29"/>
    </row>
    <row r="49" spans="2:6" ht="18" x14ac:dyDescent="0.25">
      <c r="B49" s="83" t="s">
        <v>23</v>
      </c>
      <c r="C49" s="84"/>
      <c r="D49" s="26"/>
      <c r="E49" s="20"/>
      <c r="F49" s="29"/>
    </row>
    <row r="50" spans="2:6" ht="18" x14ac:dyDescent="0.25">
      <c r="B50" s="83" t="s">
        <v>27</v>
      </c>
      <c r="C50" s="84"/>
      <c r="D50" s="26"/>
      <c r="E50" s="20"/>
      <c r="F50" s="29"/>
    </row>
    <row r="51" spans="2:6" ht="18.75" thickBot="1" x14ac:dyDescent="0.3">
      <c r="B51" s="85" t="s">
        <v>28</v>
      </c>
      <c r="C51" s="86"/>
      <c r="D51" s="49"/>
      <c r="E51" s="20"/>
      <c r="F51" s="29"/>
    </row>
    <row r="52" spans="2:6" ht="18.75" thickBot="1" x14ac:dyDescent="0.3">
      <c r="B52" s="87" t="s">
        <v>10</v>
      </c>
      <c r="C52" s="88"/>
      <c r="D52" s="48">
        <f>SUM(D43:D51)</f>
        <v>0</v>
      </c>
      <c r="E52" s="23"/>
      <c r="F52" s="29"/>
    </row>
    <row r="53" spans="2:6" ht="18.75" thickBot="1" x14ac:dyDescent="0.3">
      <c r="B53" s="58" t="s">
        <v>8</v>
      </c>
      <c r="C53" s="46"/>
      <c r="D53" s="63">
        <f>D41-D52</f>
        <v>0</v>
      </c>
      <c r="E53" s="23"/>
      <c r="F53" s="29"/>
    </row>
    <row r="54" spans="2:6" x14ac:dyDescent="0.2">
      <c r="B54" s="53"/>
      <c r="C54" s="30"/>
      <c r="D54" s="27">
        <f>15%*D53</f>
        <v>0</v>
      </c>
      <c r="E54" s="27"/>
      <c r="F54" s="29"/>
    </row>
    <row r="55" spans="2:6" x14ac:dyDescent="0.2">
      <c r="B55" s="53" t="s">
        <v>26</v>
      </c>
      <c r="C55" s="30"/>
      <c r="D55" s="18">
        <f>D53-D54</f>
        <v>0</v>
      </c>
      <c r="E55" s="27"/>
      <c r="F55" s="29"/>
    </row>
  </sheetData>
  <mergeCells count="14">
    <mergeCell ref="B51:C51"/>
    <mergeCell ref="B52:C52"/>
    <mergeCell ref="B45:C45"/>
    <mergeCell ref="B46:C46"/>
    <mergeCell ref="B47:C47"/>
    <mergeCell ref="B48:C48"/>
    <mergeCell ref="B49:C49"/>
    <mergeCell ref="B50:C50"/>
    <mergeCell ref="B44:C44"/>
    <mergeCell ref="B1:F1"/>
    <mergeCell ref="B3:F3"/>
    <mergeCell ref="B39:F39"/>
    <mergeCell ref="B41:C41"/>
    <mergeCell ref="B43:C43"/>
  </mergeCells>
  <phoneticPr fontId="11" type="noConversion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79B70-B465-4611-BAE4-8C805111704E}">
  <dimension ref="B1:F55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B4" sqref="B4"/>
    </sheetView>
  </sheetViews>
  <sheetFormatPr defaultRowHeight="12.75" x14ac:dyDescent="0.2"/>
  <cols>
    <col min="1" max="1" width="4.7109375" customWidth="1"/>
    <col min="2" max="2" width="18.5703125" style="59" customWidth="1"/>
    <col min="3" max="3" width="22.42578125" customWidth="1"/>
    <col min="4" max="4" width="22.7109375" customWidth="1"/>
    <col min="5" max="5" width="20" customWidth="1"/>
    <col min="6" max="6" width="17.7109375" bestFit="1" customWidth="1"/>
  </cols>
  <sheetData>
    <row r="1" spans="2:6" ht="27.75" x14ac:dyDescent="0.4">
      <c r="B1" s="76" t="s">
        <v>7</v>
      </c>
      <c r="C1" s="76"/>
      <c r="D1" s="76"/>
      <c r="E1" s="76"/>
      <c r="F1" s="76"/>
    </row>
    <row r="2" spans="2:6" x14ac:dyDescent="0.2">
      <c r="B2" s="53"/>
      <c r="C2" s="30"/>
      <c r="D2" s="18"/>
      <c r="E2" s="18"/>
      <c r="F2" s="29"/>
    </row>
    <row r="3" spans="2:6" ht="18" x14ac:dyDescent="0.25">
      <c r="B3" s="75" t="s">
        <v>39</v>
      </c>
      <c r="C3" s="75"/>
      <c r="D3" s="75"/>
      <c r="E3" s="75"/>
      <c r="F3" s="75"/>
    </row>
    <row r="4" spans="2:6" x14ac:dyDescent="0.2">
      <c r="B4" s="53"/>
      <c r="C4" s="30"/>
      <c r="D4" s="18"/>
      <c r="E4" s="18"/>
      <c r="F4" s="29"/>
    </row>
    <row r="5" spans="2:6" ht="25.5" x14ac:dyDescent="0.35">
      <c r="B5" s="54" t="s">
        <v>0</v>
      </c>
      <c r="C5" s="2" t="s">
        <v>12</v>
      </c>
      <c r="D5" s="15" t="s">
        <v>1</v>
      </c>
      <c r="E5" s="15" t="s">
        <v>2</v>
      </c>
      <c r="F5" s="60" t="s">
        <v>25</v>
      </c>
    </row>
    <row r="6" spans="2:6" ht="18" x14ac:dyDescent="0.25">
      <c r="B6" s="61">
        <v>46327</v>
      </c>
      <c r="C6" s="1" t="s">
        <v>20</v>
      </c>
      <c r="D6" s="32"/>
      <c r="E6" s="32"/>
      <c r="F6" s="39"/>
    </row>
    <row r="7" spans="2:6" ht="18" x14ac:dyDescent="0.25">
      <c r="B7" s="61">
        <v>46328</v>
      </c>
      <c r="C7" s="1" t="s">
        <v>14</v>
      </c>
      <c r="D7" s="32"/>
      <c r="E7" s="32"/>
      <c r="F7" s="50"/>
    </row>
    <row r="8" spans="2:6" ht="18" x14ac:dyDescent="0.25">
      <c r="B8" s="61">
        <v>46329</v>
      </c>
      <c r="C8" s="1" t="s">
        <v>15</v>
      </c>
      <c r="D8" s="35"/>
      <c r="E8" s="35"/>
      <c r="F8" s="50"/>
    </row>
    <row r="9" spans="2:6" ht="18" x14ac:dyDescent="0.25">
      <c r="B9" s="61">
        <v>46330</v>
      </c>
      <c r="C9" s="1" t="s">
        <v>16</v>
      </c>
      <c r="D9" s="32"/>
      <c r="E9" s="32"/>
      <c r="F9" s="39"/>
    </row>
    <row r="10" spans="2:6" ht="18" x14ac:dyDescent="0.25">
      <c r="B10" s="61">
        <v>46331</v>
      </c>
      <c r="C10" s="1" t="s">
        <v>17</v>
      </c>
      <c r="D10" s="32"/>
      <c r="E10" s="32"/>
      <c r="F10" s="39"/>
    </row>
    <row r="11" spans="2:6" ht="18" x14ac:dyDescent="0.25">
      <c r="B11" s="61">
        <v>46332</v>
      </c>
      <c r="C11" s="1" t="s">
        <v>18</v>
      </c>
      <c r="D11" s="32"/>
      <c r="E11" s="32"/>
      <c r="F11" s="50"/>
    </row>
    <row r="12" spans="2:6" ht="18" x14ac:dyDescent="0.25">
      <c r="B12" s="61">
        <v>46333</v>
      </c>
      <c r="C12" s="1" t="s">
        <v>19</v>
      </c>
      <c r="D12" s="32"/>
      <c r="E12" s="32"/>
      <c r="F12" s="50"/>
    </row>
    <row r="13" spans="2:6" ht="18" x14ac:dyDescent="0.25">
      <c r="B13" s="61">
        <v>46334</v>
      </c>
      <c r="C13" s="1" t="s">
        <v>20</v>
      </c>
      <c r="D13" s="32"/>
      <c r="E13" s="32"/>
      <c r="F13" s="50"/>
    </row>
    <row r="14" spans="2:6" ht="18" x14ac:dyDescent="0.25">
      <c r="B14" s="61">
        <v>46335</v>
      </c>
      <c r="C14" s="1" t="s">
        <v>14</v>
      </c>
      <c r="D14" s="32"/>
      <c r="E14" s="32"/>
      <c r="F14" s="50"/>
    </row>
    <row r="15" spans="2:6" ht="18" x14ac:dyDescent="0.25">
      <c r="B15" s="61">
        <v>46336</v>
      </c>
      <c r="C15" s="1" t="s">
        <v>15</v>
      </c>
      <c r="D15" s="32"/>
      <c r="E15" s="32"/>
      <c r="F15" s="50"/>
    </row>
    <row r="16" spans="2:6" ht="18" x14ac:dyDescent="0.25">
      <c r="B16" s="61">
        <v>46337</v>
      </c>
      <c r="C16" s="1" t="s">
        <v>16</v>
      </c>
      <c r="D16" s="32"/>
      <c r="E16" s="32"/>
      <c r="F16" s="50"/>
    </row>
    <row r="17" spans="2:6" ht="18" x14ac:dyDescent="0.25">
      <c r="B17" s="61">
        <v>46338</v>
      </c>
      <c r="C17" s="1" t="s">
        <v>17</v>
      </c>
      <c r="D17" s="32"/>
      <c r="E17" s="32"/>
      <c r="F17" s="39"/>
    </row>
    <row r="18" spans="2:6" ht="18" x14ac:dyDescent="0.25">
      <c r="B18" s="61">
        <v>46339</v>
      </c>
      <c r="C18" s="1" t="s">
        <v>18</v>
      </c>
      <c r="D18" s="32"/>
      <c r="E18" s="32"/>
      <c r="F18" s="39"/>
    </row>
    <row r="19" spans="2:6" ht="18" x14ac:dyDescent="0.25">
      <c r="B19" s="61">
        <v>46340</v>
      </c>
      <c r="C19" s="1" t="s">
        <v>19</v>
      </c>
      <c r="D19" s="32"/>
      <c r="E19" s="32"/>
      <c r="F19" s="39"/>
    </row>
    <row r="20" spans="2:6" ht="18" x14ac:dyDescent="0.25">
      <c r="B20" s="61">
        <v>46341</v>
      </c>
      <c r="C20" s="1" t="s">
        <v>20</v>
      </c>
      <c r="D20" s="32"/>
      <c r="E20" s="32"/>
      <c r="F20" s="39"/>
    </row>
    <row r="21" spans="2:6" ht="18" x14ac:dyDescent="0.25">
      <c r="B21" s="61">
        <v>46342</v>
      </c>
      <c r="C21" s="1" t="s">
        <v>14</v>
      </c>
      <c r="D21" s="32"/>
      <c r="E21" s="32"/>
      <c r="F21" s="50"/>
    </row>
    <row r="22" spans="2:6" ht="18" x14ac:dyDescent="0.25">
      <c r="B22" s="61">
        <v>46343</v>
      </c>
      <c r="C22" s="1" t="s">
        <v>15</v>
      </c>
      <c r="D22" s="32"/>
      <c r="E22" s="32"/>
      <c r="F22" s="62"/>
    </row>
    <row r="23" spans="2:6" ht="18" x14ac:dyDescent="0.25">
      <c r="B23" s="61">
        <v>46344</v>
      </c>
      <c r="C23" s="1" t="s">
        <v>16</v>
      </c>
      <c r="D23" s="32"/>
      <c r="E23" s="32"/>
      <c r="F23" s="62"/>
    </row>
    <row r="24" spans="2:6" ht="18" x14ac:dyDescent="0.25">
      <c r="B24" s="61">
        <v>46345</v>
      </c>
      <c r="C24" s="1" t="s">
        <v>17</v>
      </c>
      <c r="D24" s="32"/>
      <c r="E24" s="32"/>
      <c r="F24" s="62"/>
    </row>
    <row r="25" spans="2:6" ht="18" x14ac:dyDescent="0.25">
      <c r="B25" s="61">
        <v>46346</v>
      </c>
      <c r="C25" s="1" t="s">
        <v>18</v>
      </c>
      <c r="D25" s="32"/>
      <c r="E25" s="32"/>
      <c r="F25" s="50"/>
    </row>
    <row r="26" spans="2:6" ht="18" x14ac:dyDescent="0.25">
      <c r="B26" s="61">
        <v>46347</v>
      </c>
      <c r="C26" s="1" t="s">
        <v>19</v>
      </c>
      <c r="D26" s="32"/>
      <c r="E26" s="32"/>
      <c r="F26" s="50"/>
    </row>
    <row r="27" spans="2:6" ht="18" x14ac:dyDescent="0.25">
      <c r="B27" s="61">
        <v>46348</v>
      </c>
      <c r="C27" s="1" t="s">
        <v>20</v>
      </c>
      <c r="D27" s="32"/>
      <c r="E27" s="32"/>
      <c r="F27" s="39"/>
    </row>
    <row r="28" spans="2:6" ht="18" x14ac:dyDescent="0.25">
      <c r="B28" s="61">
        <v>46349</v>
      </c>
      <c r="C28" s="1" t="s">
        <v>14</v>
      </c>
      <c r="D28" s="32"/>
      <c r="E28" s="32"/>
      <c r="F28" s="39"/>
    </row>
    <row r="29" spans="2:6" ht="18" x14ac:dyDescent="0.25">
      <c r="B29" s="61">
        <v>46350</v>
      </c>
      <c r="C29" s="1" t="s">
        <v>15</v>
      </c>
      <c r="D29" s="32"/>
      <c r="E29" s="32"/>
      <c r="F29" s="39"/>
    </row>
    <row r="30" spans="2:6" ht="18" x14ac:dyDescent="0.25">
      <c r="B30" s="61">
        <v>46351</v>
      </c>
      <c r="C30" s="1" t="s">
        <v>16</v>
      </c>
      <c r="D30" s="32"/>
      <c r="E30" s="32"/>
      <c r="F30" s="50"/>
    </row>
    <row r="31" spans="2:6" ht="18" x14ac:dyDescent="0.25">
      <c r="B31" s="61">
        <v>46352</v>
      </c>
      <c r="C31" s="1" t="s">
        <v>17</v>
      </c>
      <c r="D31" s="32"/>
      <c r="E31" s="32"/>
      <c r="F31" s="39"/>
    </row>
    <row r="32" spans="2:6" ht="18" x14ac:dyDescent="0.25">
      <c r="B32" s="61">
        <v>46353</v>
      </c>
      <c r="C32" s="1" t="s">
        <v>18</v>
      </c>
      <c r="D32" s="32"/>
      <c r="E32" s="32"/>
      <c r="F32" s="39"/>
    </row>
    <row r="33" spans="2:6" ht="18" x14ac:dyDescent="0.25">
      <c r="B33" s="61">
        <v>46354</v>
      </c>
      <c r="C33" s="1" t="s">
        <v>19</v>
      </c>
      <c r="D33" s="32"/>
      <c r="E33" s="32"/>
      <c r="F33" s="39"/>
    </row>
    <row r="34" spans="2:6" ht="18" x14ac:dyDescent="0.25">
      <c r="B34" s="61">
        <v>46355</v>
      </c>
      <c r="C34" s="1" t="s">
        <v>20</v>
      </c>
      <c r="D34" s="32"/>
      <c r="E34" s="32"/>
      <c r="F34" s="39"/>
    </row>
    <row r="35" spans="2:6" ht="18" x14ac:dyDescent="0.25">
      <c r="B35" s="61">
        <v>46356</v>
      </c>
      <c r="C35" s="1" t="s">
        <v>14</v>
      </c>
      <c r="D35" s="32"/>
      <c r="E35" s="32"/>
      <c r="F35" s="37"/>
    </row>
    <row r="36" spans="2:6" ht="18" x14ac:dyDescent="0.25">
      <c r="B36" s="61"/>
      <c r="C36" s="1"/>
      <c r="D36" s="32"/>
      <c r="E36" s="32"/>
      <c r="F36" s="39"/>
    </row>
    <row r="37" spans="2:6" ht="25.5" x14ac:dyDescent="0.35">
      <c r="B37" s="56" t="s">
        <v>3</v>
      </c>
      <c r="C37" s="3"/>
      <c r="D37" s="17">
        <f>SUM(D6:D36)</f>
        <v>0</v>
      </c>
      <c r="E37" s="17">
        <f>SUM(E6:E36)</f>
        <v>0</v>
      </c>
      <c r="F37" s="17">
        <f>SUM(F6:F36)</f>
        <v>0</v>
      </c>
    </row>
    <row r="38" spans="2:6" x14ac:dyDescent="0.2">
      <c r="B38" s="53"/>
      <c r="C38" s="30"/>
      <c r="D38" s="18"/>
      <c r="E38" s="18"/>
      <c r="F38" s="29"/>
    </row>
    <row r="39" spans="2:6" ht="15.75" x14ac:dyDescent="0.25">
      <c r="B39" s="82" t="s">
        <v>11</v>
      </c>
      <c r="C39" s="82"/>
      <c r="D39" s="82"/>
      <c r="E39" s="82"/>
      <c r="F39" s="82"/>
    </row>
    <row r="40" spans="2:6" ht="13.5" thickBot="1" x14ac:dyDescent="0.25">
      <c r="B40" s="53"/>
      <c r="C40" s="30"/>
      <c r="D40" s="18"/>
      <c r="E40" s="18"/>
      <c r="F40" s="29"/>
    </row>
    <row r="41" spans="2:6" ht="18.75" thickBot="1" x14ac:dyDescent="0.3">
      <c r="B41" s="89" t="s">
        <v>4</v>
      </c>
      <c r="C41" s="90"/>
      <c r="D41" s="42">
        <f>E37</f>
        <v>0</v>
      </c>
      <c r="E41" s="20"/>
      <c r="F41" s="29"/>
    </row>
    <row r="42" spans="2:6" ht="18" x14ac:dyDescent="0.25">
      <c r="B42" s="57" t="s">
        <v>9</v>
      </c>
      <c r="C42" s="44"/>
      <c r="D42" s="41"/>
      <c r="E42" s="20"/>
      <c r="F42" s="29"/>
    </row>
    <row r="43" spans="2:6" ht="18" x14ac:dyDescent="0.25">
      <c r="B43" s="83" t="s">
        <v>5</v>
      </c>
      <c r="C43" s="84"/>
      <c r="D43" s="26"/>
      <c r="E43" s="20"/>
      <c r="F43" s="29"/>
    </row>
    <row r="44" spans="2:6" ht="18" x14ac:dyDescent="0.25">
      <c r="B44" s="83" t="s">
        <v>6</v>
      </c>
      <c r="C44" s="84"/>
      <c r="D44" s="26"/>
      <c r="E44" s="20"/>
      <c r="F44" s="29"/>
    </row>
    <row r="45" spans="2:6" ht="18" x14ac:dyDescent="0.25">
      <c r="B45" s="83" t="s">
        <v>13</v>
      </c>
      <c r="C45" s="84"/>
      <c r="D45" s="26"/>
      <c r="E45" s="20"/>
      <c r="F45" s="29"/>
    </row>
    <row r="46" spans="2:6" ht="18" x14ac:dyDescent="0.25">
      <c r="B46" s="83" t="s">
        <v>21</v>
      </c>
      <c r="C46" s="84"/>
      <c r="D46" s="26"/>
      <c r="E46" s="20"/>
      <c r="F46" s="29"/>
    </row>
    <row r="47" spans="2:6" ht="18" x14ac:dyDescent="0.25">
      <c r="B47" s="83" t="s">
        <v>22</v>
      </c>
      <c r="C47" s="84"/>
      <c r="D47" s="26"/>
      <c r="E47" s="20"/>
      <c r="F47" s="29"/>
    </row>
    <row r="48" spans="2:6" ht="18" x14ac:dyDescent="0.25">
      <c r="B48" s="83" t="s">
        <v>24</v>
      </c>
      <c r="C48" s="84"/>
      <c r="D48" s="26"/>
      <c r="E48" s="20"/>
      <c r="F48" s="29"/>
    </row>
    <row r="49" spans="2:6" ht="18" x14ac:dyDescent="0.25">
      <c r="B49" s="83" t="s">
        <v>23</v>
      </c>
      <c r="C49" s="84"/>
      <c r="D49" s="26"/>
      <c r="E49" s="20"/>
      <c r="F49" s="29"/>
    </row>
    <row r="50" spans="2:6" ht="18" x14ac:dyDescent="0.25">
      <c r="B50" s="83" t="s">
        <v>27</v>
      </c>
      <c r="C50" s="84"/>
      <c r="D50" s="26"/>
      <c r="E50" s="20"/>
      <c r="F50" s="29"/>
    </row>
    <row r="51" spans="2:6" ht="18.75" thickBot="1" x14ac:dyDescent="0.3">
      <c r="B51" s="85" t="s">
        <v>28</v>
      </c>
      <c r="C51" s="86"/>
      <c r="D51" s="49"/>
      <c r="E51" s="20"/>
      <c r="F51" s="29"/>
    </row>
    <row r="52" spans="2:6" ht="18.75" thickBot="1" x14ac:dyDescent="0.3">
      <c r="B52" s="87" t="s">
        <v>10</v>
      </c>
      <c r="C52" s="88"/>
      <c r="D52" s="48">
        <f>SUM(D43:D51)</f>
        <v>0</v>
      </c>
      <c r="E52" s="23"/>
      <c r="F52" s="29"/>
    </row>
    <row r="53" spans="2:6" ht="18.75" thickBot="1" x14ac:dyDescent="0.3">
      <c r="B53" s="58" t="s">
        <v>8</v>
      </c>
      <c r="C53" s="46"/>
      <c r="D53" s="63">
        <f>D41-D52</f>
        <v>0</v>
      </c>
      <c r="E53" s="23"/>
      <c r="F53" s="29"/>
    </row>
    <row r="54" spans="2:6" x14ac:dyDescent="0.2">
      <c r="B54" s="53"/>
      <c r="C54" s="30"/>
      <c r="D54" s="27">
        <f>15%*D53</f>
        <v>0</v>
      </c>
      <c r="E54" s="27"/>
      <c r="F54" s="29"/>
    </row>
    <row r="55" spans="2:6" x14ac:dyDescent="0.2">
      <c r="B55" s="53" t="s">
        <v>26</v>
      </c>
      <c r="C55" s="30"/>
      <c r="D55" s="18">
        <f>D53-D54</f>
        <v>0</v>
      </c>
      <c r="E55" s="27"/>
      <c r="F55" s="29"/>
    </row>
  </sheetData>
  <mergeCells count="14">
    <mergeCell ref="B44:C44"/>
    <mergeCell ref="B1:F1"/>
    <mergeCell ref="B3:F3"/>
    <mergeCell ref="B39:F39"/>
    <mergeCell ref="B41:C41"/>
    <mergeCell ref="B43:C43"/>
    <mergeCell ref="B51:C51"/>
    <mergeCell ref="B52:C52"/>
    <mergeCell ref="B45:C45"/>
    <mergeCell ref="B46:C46"/>
    <mergeCell ref="B47:C47"/>
    <mergeCell ref="B48:C48"/>
    <mergeCell ref="B49:C49"/>
    <mergeCell ref="B50:C50"/>
  </mergeCells>
  <phoneticPr fontId="11" type="noConversion"/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5E13C-BEAA-44B2-81AB-F15EC09C91B8}">
  <dimension ref="B1:F55"/>
  <sheetViews>
    <sheetView tabSelected="1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J42" sqref="J42"/>
    </sheetView>
  </sheetViews>
  <sheetFormatPr defaultRowHeight="12.75" x14ac:dyDescent="0.2"/>
  <cols>
    <col min="1" max="1" width="4.7109375" customWidth="1"/>
    <col min="2" max="2" width="18.5703125" style="59" customWidth="1"/>
    <col min="3" max="3" width="22.42578125" customWidth="1"/>
    <col min="4" max="4" width="22.7109375" customWidth="1"/>
    <col min="5" max="5" width="20" customWidth="1"/>
    <col min="6" max="6" width="17.7109375" bestFit="1" customWidth="1"/>
  </cols>
  <sheetData>
    <row r="1" spans="2:6" ht="27.75" x14ac:dyDescent="0.4">
      <c r="B1" s="76" t="s">
        <v>7</v>
      </c>
      <c r="C1" s="76"/>
      <c r="D1" s="76"/>
      <c r="E1" s="76"/>
      <c r="F1" s="76"/>
    </row>
    <row r="2" spans="2:6" x14ac:dyDescent="0.2">
      <c r="B2" s="53"/>
      <c r="C2" s="30"/>
      <c r="D2" s="18"/>
      <c r="E2" s="18"/>
      <c r="F2" s="29"/>
    </row>
    <row r="3" spans="2:6" ht="18" x14ac:dyDescent="0.25">
      <c r="B3" s="75" t="s">
        <v>30</v>
      </c>
      <c r="C3" s="75"/>
      <c r="D3" s="75"/>
      <c r="E3" s="75"/>
      <c r="F3" s="75"/>
    </row>
    <row r="4" spans="2:6" x14ac:dyDescent="0.2">
      <c r="B4" s="53"/>
      <c r="C4" s="30"/>
      <c r="D4" s="18"/>
      <c r="E4" s="18"/>
      <c r="F4" s="29"/>
    </row>
    <row r="5" spans="2:6" ht="25.5" x14ac:dyDescent="0.35">
      <c r="B5" s="54" t="s">
        <v>0</v>
      </c>
      <c r="C5" s="2" t="s">
        <v>12</v>
      </c>
      <c r="D5" s="15" t="s">
        <v>1</v>
      </c>
      <c r="E5" s="15" t="s">
        <v>2</v>
      </c>
      <c r="F5" s="60" t="s">
        <v>25</v>
      </c>
    </row>
    <row r="6" spans="2:6" ht="18" x14ac:dyDescent="0.25">
      <c r="B6" s="61">
        <v>45992</v>
      </c>
      <c r="C6" s="1" t="s">
        <v>14</v>
      </c>
      <c r="D6" s="32"/>
      <c r="E6" s="32"/>
      <c r="F6" s="39"/>
    </row>
    <row r="7" spans="2:6" ht="18" x14ac:dyDescent="0.25">
      <c r="B7" s="61">
        <v>45993</v>
      </c>
      <c r="C7" s="1" t="s">
        <v>15</v>
      </c>
      <c r="D7" s="32"/>
      <c r="E7" s="32"/>
      <c r="F7" s="50"/>
    </row>
    <row r="8" spans="2:6" ht="18" x14ac:dyDescent="0.25">
      <c r="B8" s="61">
        <v>45994</v>
      </c>
      <c r="C8" s="1" t="s">
        <v>16</v>
      </c>
      <c r="D8" s="35"/>
      <c r="E8" s="35"/>
      <c r="F8" s="50"/>
    </row>
    <row r="9" spans="2:6" ht="18" x14ac:dyDescent="0.25">
      <c r="B9" s="61">
        <v>45995</v>
      </c>
      <c r="C9" s="1" t="s">
        <v>17</v>
      </c>
      <c r="D9" s="32"/>
      <c r="E9" s="32"/>
      <c r="F9" s="39"/>
    </row>
    <row r="10" spans="2:6" ht="18" x14ac:dyDescent="0.25">
      <c r="B10" s="61">
        <v>45996</v>
      </c>
      <c r="C10" s="1" t="s">
        <v>18</v>
      </c>
      <c r="D10" s="32"/>
      <c r="E10" s="32"/>
      <c r="F10" s="39"/>
    </row>
    <row r="11" spans="2:6" ht="18" x14ac:dyDescent="0.25">
      <c r="B11" s="61">
        <v>45997</v>
      </c>
      <c r="C11" s="1" t="s">
        <v>19</v>
      </c>
      <c r="D11" s="32"/>
      <c r="E11" s="32"/>
      <c r="F11" s="50"/>
    </row>
    <row r="12" spans="2:6" ht="18" x14ac:dyDescent="0.25">
      <c r="B12" s="61">
        <v>45998</v>
      </c>
      <c r="C12" s="1" t="s">
        <v>20</v>
      </c>
      <c r="D12" s="32"/>
      <c r="E12" s="32"/>
      <c r="F12" s="50"/>
    </row>
    <row r="13" spans="2:6" ht="18" x14ac:dyDescent="0.25">
      <c r="B13" s="61">
        <v>45999</v>
      </c>
      <c r="C13" s="1" t="s">
        <v>14</v>
      </c>
      <c r="D13" s="32"/>
      <c r="E13" s="32"/>
      <c r="F13" s="50"/>
    </row>
    <row r="14" spans="2:6" ht="18" x14ac:dyDescent="0.25">
      <c r="B14" s="61">
        <v>46000</v>
      </c>
      <c r="C14" s="1" t="s">
        <v>15</v>
      </c>
      <c r="D14" s="32"/>
      <c r="E14" s="32"/>
      <c r="F14" s="50"/>
    </row>
    <row r="15" spans="2:6" ht="18" x14ac:dyDescent="0.25">
      <c r="B15" s="61">
        <v>46001</v>
      </c>
      <c r="C15" s="1" t="s">
        <v>16</v>
      </c>
      <c r="D15" s="32"/>
      <c r="E15" s="32"/>
      <c r="F15" s="50"/>
    </row>
    <row r="16" spans="2:6" ht="18" x14ac:dyDescent="0.25">
      <c r="B16" s="61">
        <v>46002</v>
      </c>
      <c r="C16" s="1" t="s">
        <v>17</v>
      </c>
      <c r="D16" s="32"/>
      <c r="E16" s="32"/>
      <c r="F16" s="50"/>
    </row>
    <row r="17" spans="2:6" ht="18" x14ac:dyDescent="0.25">
      <c r="B17" s="61">
        <v>46003</v>
      </c>
      <c r="C17" s="1" t="s">
        <v>18</v>
      </c>
      <c r="D17" s="32"/>
      <c r="E17" s="32"/>
      <c r="F17" s="39"/>
    </row>
    <row r="18" spans="2:6" ht="18" x14ac:dyDescent="0.25">
      <c r="B18" s="61">
        <v>46004</v>
      </c>
      <c r="C18" s="1" t="s">
        <v>19</v>
      </c>
      <c r="D18" s="32"/>
      <c r="E18" s="32"/>
      <c r="F18" s="39"/>
    </row>
    <row r="19" spans="2:6" ht="18" x14ac:dyDescent="0.25">
      <c r="B19" s="61">
        <v>46005</v>
      </c>
      <c r="C19" s="1" t="s">
        <v>20</v>
      </c>
      <c r="D19" s="32"/>
      <c r="E19" s="32"/>
      <c r="F19" s="39"/>
    </row>
    <row r="20" spans="2:6" ht="18" x14ac:dyDescent="0.25">
      <c r="B20" s="61">
        <v>46006</v>
      </c>
      <c r="C20" s="1" t="s">
        <v>14</v>
      </c>
      <c r="D20" s="32"/>
      <c r="E20" s="32"/>
      <c r="F20" s="39"/>
    </row>
    <row r="21" spans="2:6" ht="18" x14ac:dyDescent="0.25">
      <c r="B21" s="61">
        <v>46007</v>
      </c>
      <c r="C21" s="1" t="s">
        <v>15</v>
      </c>
      <c r="D21" s="32"/>
      <c r="E21" s="32"/>
      <c r="F21" s="50"/>
    </row>
    <row r="22" spans="2:6" ht="18" x14ac:dyDescent="0.25">
      <c r="B22" s="61">
        <v>46008</v>
      </c>
      <c r="C22" s="1" t="s">
        <v>16</v>
      </c>
      <c r="D22" s="32"/>
      <c r="E22" s="32"/>
      <c r="F22" s="62"/>
    </row>
    <row r="23" spans="2:6" ht="18" x14ac:dyDescent="0.25">
      <c r="B23" s="61">
        <v>46009</v>
      </c>
      <c r="C23" s="1" t="s">
        <v>17</v>
      </c>
      <c r="D23" s="32"/>
      <c r="E23" s="32"/>
      <c r="F23" s="62"/>
    </row>
    <row r="24" spans="2:6" ht="18" x14ac:dyDescent="0.25">
      <c r="B24" s="61">
        <v>46010</v>
      </c>
      <c r="C24" s="1" t="s">
        <v>18</v>
      </c>
      <c r="D24" s="32"/>
      <c r="E24" s="32"/>
      <c r="F24" s="62"/>
    </row>
    <row r="25" spans="2:6" ht="18" x14ac:dyDescent="0.25">
      <c r="B25" s="61">
        <v>46011</v>
      </c>
      <c r="C25" s="1" t="s">
        <v>19</v>
      </c>
      <c r="D25" s="32"/>
      <c r="E25" s="32"/>
      <c r="F25" s="50"/>
    </row>
    <row r="26" spans="2:6" ht="18" x14ac:dyDescent="0.25">
      <c r="B26" s="61">
        <v>46012</v>
      </c>
      <c r="C26" s="1" t="s">
        <v>20</v>
      </c>
      <c r="D26" s="32"/>
      <c r="E26" s="32"/>
      <c r="F26" s="50"/>
    </row>
    <row r="27" spans="2:6" ht="18" x14ac:dyDescent="0.25">
      <c r="B27" s="61">
        <v>46013</v>
      </c>
      <c r="C27" s="1" t="s">
        <v>14</v>
      </c>
      <c r="D27" s="32"/>
      <c r="E27" s="32"/>
      <c r="F27" s="39"/>
    </row>
    <row r="28" spans="2:6" ht="18" x14ac:dyDescent="0.25">
      <c r="B28" s="61">
        <v>46014</v>
      </c>
      <c r="C28" s="1" t="s">
        <v>15</v>
      </c>
      <c r="D28" s="32"/>
      <c r="E28" s="32"/>
      <c r="F28" s="39"/>
    </row>
    <row r="29" spans="2:6" ht="18" x14ac:dyDescent="0.25">
      <c r="B29" s="61">
        <v>46015</v>
      </c>
      <c r="C29" s="1" t="s">
        <v>16</v>
      </c>
      <c r="D29" s="32"/>
      <c r="E29" s="32"/>
      <c r="F29" s="39"/>
    </row>
    <row r="30" spans="2:6" ht="18" x14ac:dyDescent="0.25">
      <c r="B30" s="61">
        <v>46016</v>
      </c>
      <c r="C30" s="1" t="s">
        <v>17</v>
      </c>
      <c r="D30" s="32"/>
      <c r="E30" s="32"/>
      <c r="F30" s="50"/>
    </row>
    <row r="31" spans="2:6" ht="18" x14ac:dyDescent="0.25">
      <c r="B31" s="61">
        <v>46017</v>
      </c>
      <c r="C31" s="1" t="s">
        <v>18</v>
      </c>
      <c r="D31" s="32"/>
      <c r="E31" s="32"/>
      <c r="F31" s="39"/>
    </row>
    <row r="32" spans="2:6" ht="18" x14ac:dyDescent="0.25">
      <c r="B32" s="61">
        <v>46018</v>
      </c>
      <c r="C32" s="1" t="s">
        <v>19</v>
      </c>
      <c r="D32" s="32"/>
      <c r="E32" s="32"/>
      <c r="F32" s="39"/>
    </row>
    <row r="33" spans="2:6" ht="18" x14ac:dyDescent="0.25">
      <c r="B33" s="61">
        <v>46019</v>
      </c>
      <c r="C33" s="1" t="s">
        <v>20</v>
      </c>
      <c r="D33" s="32"/>
      <c r="E33" s="32"/>
      <c r="F33" s="39"/>
    </row>
    <row r="34" spans="2:6" ht="18" x14ac:dyDescent="0.25">
      <c r="B34" s="61">
        <v>46020</v>
      </c>
      <c r="C34" s="1" t="s">
        <v>14</v>
      </c>
      <c r="D34" s="32"/>
      <c r="E34" s="32"/>
      <c r="F34" s="39"/>
    </row>
    <row r="35" spans="2:6" ht="18" x14ac:dyDescent="0.25">
      <c r="B35" s="61">
        <v>46021</v>
      </c>
      <c r="C35" s="1" t="s">
        <v>15</v>
      </c>
      <c r="D35" s="32"/>
      <c r="E35" s="32"/>
      <c r="F35" s="37"/>
    </row>
    <row r="36" spans="2:6" ht="18" x14ac:dyDescent="0.25">
      <c r="B36" s="61">
        <v>46022</v>
      </c>
      <c r="C36" s="1" t="s">
        <v>16</v>
      </c>
      <c r="D36" s="32"/>
      <c r="E36" s="32"/>
      <c r="F36" s="39"/>
    </row>
    <row r="37" spans="2:6" ht="25.5" x14ac:dyDescent="0.35">
      <c r="B37" s="56" t="s">
        <v>3</v>
      </c>
      <c r="C37" s="3"/>
      <c r="D37" s="17">
        <f>SUM(D6:D36)</f>
        <v>0</v>
      </c>
      <c r="E37" s="17">
        <f>SUM(E6:E36)</f>
        <v>0</v>
      </c>
      <c r="F37" s="17">
        <f>SUM(F6:F36)</f>
        <v>0</v>
      </c>
    </row>
    <row r="38" spans="2:6" x14ac:dyDescent="0.2">
      <c r="B38" s="53"/>
      <c r="C38" s="30"/>
      <c r="D38" s="18"/>
      <c r="E38" s="18"/>
      <c r="F38" s="29"/>
    </row>
    <row r="39" spans="2:6" ht="15.75" x14ac:dyDescent="0.25">
      <c r="B39" s="82" t="s">
        <v>11</v>
      </c>
      <c r="C39" s="82"/>
      <c r="D39" s="82"/>
      <c r="E39" s="82"/>
      <c r="F39" s="82"/>
    </row>
    <row r="40" spans="2:6" ht="13.5" thickBot="1" x14ac:dyDescent="0.25">
      <c r="B40" s="53"/>
      <c r="C40" s="30"/>
      <c r="D40" s="18"/>
      <c r="E40" s="18"/>
      <c r="F40" s="29"/>
    </row>
    <row r="41" spans="2:6" ht="18.75" thickBot="1" x14ac:dyDescent="0.3">
      <c r="B41" s="89" t="s">
        <v>4</v>
      </c>
      <c r="C41" s="90"/>
      <c r="D41" s="42">
        <f>E37</f>
        <v>0</v>
      </c>
      <c r="E41" s="20"/>
      <c r="F41" s="29"/>
    </row>
    <row r="42" spans="2:6" ht="18" x14ac:dyDescent="0.25">
      <c r="B42" s="57" t="s">
        <v>9</v>
      </c>
      <c r="C42" s="44"/>
      <c r="D42" s="41"/>
      <c r="E42" s="20"/>
      <c r="F42" s="29"/>
    </row>
    <row r="43" spans="2:6" ht="18" x14ac:dyDescent="0.25">
      <c r="B43" s="83" t="s">
        <v>5</v>
      </c>
      <c r="C43" s="84"/>
      <c r="D43" s="26"/>
      <c r="E43" s="20"/>
      <c r="F43" s="29"/>
    </row>
    <row r="44" spans="2:6" ht="18" x14ac:dyDescent="0.25">
      <c r="B44" s="83" t="s">
        <v>6</v>
      </c>
      <c r="C44" s="84"/>
      <c r="D44" s="26"/>
      <c r="E44" s="20"/>
      <c r="F44" s="29"/>
    </row>
    <row r="45" spans="2:6" ht="18" x14ac:dyDescent="0.25">
      <c r="B45" s="83" t="s">
        <v>13</v>
      </c>
      <c r="C45" s="84"/>
      <c r="D45" s="26"/>
      <c r="E45" s="20"/>
      <c r="F45" s="29"/>
    </row>
    <row r="46" spans="2:6" ht="18" x14ac:dyDescent="0.25">
      <c r="B46" s="83" t="s">
        <v>21</v>
      </c>
      <c r="C46" s="84"/>
      <c r="D46" s="26"/>
      <c r="E46" s="20"/>
      <c r="F46" s="29"/>
    </row>
    <row r="47" spans="2:6" ht="18" x14ac:dyDescent="0.25">
      <c r="B47" s="83" t="s">
        <v>22</v>
      </c>
      <c r="C47" s="84"/>
      <c r="D47" s="26"/>
      <c r="E47" s="20"/>
      <c r="F47" s="29"/>
    </row>
    <row r="48" spans="2:6" ht="18" x14ac:dyDescent="0.25">
      <c r="B48" s="83" t="s">
        <v>24</v>
      </c>
      <c r="C48" s="84"/>
      <c r="D48" s="26"/>
      <c r="E48" s="20"/>
      <c r="F48" s="29"/>
    </row>
    <row r="49" spans="2:6" ht="18" x14ac:dyDescent="0.25">
      <c r="B49" s="83" t="s">
        <v>23</v>
      </c>
      <c r="C49" s="84"/>
      <c r="D49" s="26"/>
      <c r="E49" s="20"/>
      <c r="F49" s="29"/>
    </row>
    <row r="50" spans="2:6" ht="18" x14ac:dyDescent="0.25">
      <c r="B50" s="83" t="s">
        <v>27</v>
      </c>
      <c r="C50" s="84"/>
      <c r="D50" s="26"/>
      <c r="E50" s="20"/>
      <c r="F50" s="29"/>
    </row>
    <row r="51" spans="2:6" ht="18.75" thickBot="1" x14ac:dyDescent="0.3">
      <c r="B51" s="85" t="s">
        <v>28</v>
      </c>
      <c r="C51" s="86"/>
      <c r="D51" s="49"/>
      <c r="E51" s="20"/>
      <c r="F51" s="29"/>
    </row>
    <row r="52" spans="2:6" ht="18.75" thickBot="1" x14ac:dyDescent="0.3">
      <c r="B52" s="87" t="s">
        <v>10</v>
      </c>
      <c r="C52" s="88"/>
      <c r="D52" s="48">
        <f>SUM(D43:D51)</f>
        <v>0</v>
      </c>
      <c r="E52" s="23"/>
      <c r="F52" s="29"/>
    </row>
    <row r="53" spans="2:6" ht="18.75" thickBot="1" x14ac:dyDescent="0.3">
      <c r="B53" s="58" t="s">
        <v>8</v>
      </c>
      <c r="C53" s="46"/>
      <c r="D53" s="47">
        <f>D41-D52</f>
        <v>0</v>
      </c>
      <c r="E53" s="23"/>
      <c r="F53" s="29"/>
    </row>
    <row r="54" spans="2:6" x14ac:dyDescent="0.2">
      <c r="B54" s="53"/>
      <c r="C54" s="30"/>
      <c r="D54" s="27">
        <f>15%*D53</f>
        <v>0</v>
      </c>
      <c r="E54" s="27"/>
      <c r="F54" s="29"/>
    </row>
    <row r="55" spans="2:6" x14ac:dyDescent="0.2">
      <c r="B55" s="53" t="s">
        <v>26</v>
      </c>
      <c r="C55" s="30"/>
      <c r="D55" s="18">
        <f>D53-D54</f>
        <v>0</v>
      </c>
      <c r="E55" s="27"/>
      <c r="F55" s="29"/>
    </row>
  </sheetData>
  <mergeCells count="14">
    <mergeCell ref="B44:C44"/>
    <mergeCell ref="B1:F1"/>
    <mergeCell ref="B3:F3"/>
    <mergeCell ref="B39:F39"/>
    <mergeCell ref="B41:C41"/>
    <mergeCell ref="B43:C43"/>
    <mergeCell ref="B51:C51"/>
    <mergeCell ref="B52:C52"/>
    <mergeCell ref="B45:C45"/>
    <mergeCell ref="B46:C46"/>
    <mergeCell ref="B47:C47"/>
    <mergeCell ref="B48:C48"/>
    <mergeCell ref="B49:C49"/>
    <mergeCell ref="B50:C50"/>
  </mergeCells>
  <phoneticPr fontId="1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MAR-2026</vt:lpstr>
      <vt:lpstr>APRIL-2026</vt:lpstr>
      <vt:lpstr>MAY-2026</vt:lpstr>
      <vt:lpstr>JUNE-2026</vt:lpstr>
      <vt:lpstr>JULY-2026</vt:lpstr>
      <vt:lpstr>AUG-2026</vt:lpstr>
      <vt:lpstr>SEP-2026</vt:lpstr>
      <vt:lpstr>OCT-2026</vt:lpstr>
      <vt:lpstr>NOV-2026</vt:lpstr>
      <vt:lpstr>DEC-2026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TCOM WAH</dc:creator>
  <cp:lastModifiedBy>farhan gill</cp:lastModifiedBy>
  <cp:lastPrinted>2023-07-20T11:21:24Z</cp:lastPrinted>
  <dcterms:created xsi:type="dcterms:W3CDTF">1996-10-14T23:33:28Z</dcterms:created>
  <dcterms:modified xsi:type="dcterms:W3CDTF">2026-08-25T13:50:21Z</dcterms:modified>
</cp:coreProperties>
</file>